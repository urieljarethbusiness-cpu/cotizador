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 Único" sheetId="1" r:id="rId5"/>
    <sheet state="visible" name="Pago Mensual" sheetId="2" r:id="rId6"/>
    <sheet state="visible" name="Columnas" sheetId="3" r:id="rId7"/>
    <sheet state="visible" name="Notas" sheetId="4" r:id="rId8"/>
    <sheet state="visible" name="Cronograma" sheetId="5" r:id="rId9"/>
    <sheet state="visible" name="Logo e Identidad" sheetId="6" r:id="rId10"/>
    <sheet state="visible" name="Página Web" sheetId="7" r:id="rId11"/>
    <sheet state="visible" name="Google Ads" sheetId="8" r:id="rId12"/>
    <sheet state="visible" name="Fb &amp; Ig Ads" sheetId="9" r:id="rId13"/>
    <sheet state="visible" name="SEO" sheetId="10" r:id="rId14"/>
    <sheet state="visible" name="Tienda en línea" sheetId="11" r:id="rId15"/>
    <sheet state="visible" name="Manejo de Rss" sheetId="12" r:id="rId16"/>
    <sheet state="visible" name="Hemeroteca" sheetId="13" r:id="rId17"/>
    <sheet state="visible" name="Menú Digital" sheetId="14" r:id="rId18"/>
    <sheet state="visible" name="Est. Emp. en Ecommerce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tc={c20f5ea7-c12f-4cbb-b8a3-5c8ef80942ce}</author>
  </authors>
  <commentList>
    <comment authorId="0" xr:uid="{c20f5ea7-c12f-4cbb-b8a3-5c8ef80942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Aquí esta el cambio de página
</t>
      </text>
    </comment>
  </commentList>
</comments>
</file>

<file path=xl/sharedStrings.xml><?xml version="1.0" encoding="utf-8"?>
<sst xmlns="http://schemas.openxmlformats.org/spreadsheetml/2006/main" count="1379" uniqueCount="345">
  <si>
    <t>Cotización para: Francisco Romero</t>
  </si>
  <si>
    <t>Folio:</t>
  </si>
  <si>
    <t>E301FRDOV1</t>
  </si>
  <si>
    <t>do evolution</t>
  </si>
  <si>
    <t>Fecha:</t>
  </si>
  <si>
    <t>Vigencia:</t>
  </si>
  <si>
    <t>1. Fase de creación</t>
  </si>
  <si>
    <t>Logo e identidad</t>
  </si>
  <si>
    <t>Investigación Tendencias, Mercado, Competencia y Demanda</t>
  </si>
  <si>
    <t>✓</t>
  </si>
  <si>
    <t>Propuestas del Logotipo</t>
  </si>
  <si>
    <t>Creación del Logotipo</t>
  </si>
  <si>
    <t>Creación y Propuesta del Naming</t>
  </si>
  <si>
    <t>Aplicativos Físicos</t>
  </si>
  <si>
    <t>Aplicativos Digitales</t>
  </si>
  <si>
    <t>Manual de Identidad</t>
  </si>
  <si>
    <t>Atención al Cliente en un lapso de</t>
  </si>
  <si>
    <t>12 hrs.</t>
  </si>
  <si>
    <t>Revisiones</t>
  </si>
  <si>
    <t>presentación</t>
  </si>
  <si>
    <t>Estructura de presentación</t>
  </si>
  <si>
    <t>Diapositivas</t>
  </si>
  <si>
    <t>Storytelling</t>
  </si>
  <si>
    <t>total PAGO ÚNICO</t>
  </si>
  <si>
    <t>opciones de pago</t>
  </si>
  <si>
    <t>dos pagos</t>
  </si>
  <si>
    <t>un solo pago</t>
  </si>
  <si>
    <t>pago a meses</t>
  </si>
  <si>
    <t>*Al inicio y al entregar</t>
  </si>
  <si>
    <t>*Al firmar contrato</t>
  </si>
  <si>
    <t>*Con tarjeta de crédito</t>
  </si>
  <si>
    <t>Mensualidades de</t>
  </si>
  <si>
    <t xml:space="preserve">total </t>
  </si>
  <si>
    <t>Pago domiciliado</t>
  </si>
  <si>
    <t>*Mensual a tu tarjeta</t>
  </si>
  <si>
    <t>3. Fase de creCIMIENTO</t>
  </si>
  <si>
    <t>MARKETING SEM (GOOGLE)</t>
  </si>
  <si>
    <t>Creación y Configuración de cuenta Google Ads</t>
  </si>
  <si>
    <t>Configuración y Optimización de conversiones</t>
  </si>
  <si>
    <t>Investigación y Optimización de palabras clave positivas</t>
  </si>
  <si>
    <t>Atención de Asesoría por vía correo electrónico</t>
  </si>
  <si>
    <t>24 hrs</t>
  </si>
  <si>
    <t>Investigación y Optimización de palabras clave negativas</t>
  </si>
  <si>
    <t>Optimización de Presupuestos</t>
  </si>
  <si>
    <t>Optimización de Medios</t>
  </si>
  <si>
    <t>Creación de hasta 1 a 3 Campañas* Publicitarias (Red de Búsqueda)</t>
  </si>
  <si>
    <t>Optimización de Ubicaciones Geográficas</t>
  </si>
  <si>
    <t>Creación y Optimización  de Anuncios Publicitarios y Extensiones (Red de Búsqueda)</t>
  </si>
  <si>
    <t>Optimización de Audiencia</t>
  </si>
  <si>
    <t>Optimización de Anuncios por dispositivos</t>
  </si>
  <si>
    <t>Reporte de Resultado mensual</t>
  </si>
  <si>
    <t>Integración con Google Analytics</t>
  </si>
  <si>
    <t>Juntas de Retroalimentación cada mes</t>
  </si>
  <si>
    <t>MARKETING redes sociales</t>
  </si>
  <si>
    <t>Creación y Configuración del Administrador de Anuncios</t>
  </si>
  <si>
    <t xml:space="preserve">No. de Campañas </t>
  </si>
  <si>
    <t>Reporte de resultado mensual</t>
  </si>
  <si>
    <t>Investigación, Segmentación y Optimización del Público Objetivo</t>
  </si>
  <si>
    <t>Instalación de Pixeles en Pág. Web</t>
  </si>
  <si>
    <t>Creación de Artes (Diseño Gráfico) para Anuncios Publicitarios</t>
  </si>
  <si>
    <t>Monitoreo de campañas</t>
  </si>
  <si>
    <t>Juntas de retroalimentación al mes</t>
  </si>
  <si>
    <t>Creación y Optimización de Campañas Publicitarias</t>
  </si>
  <si>
    <t>documentos requeridos</t>
  </si>
  <si>
    <t>Permisos necesarios</t>
  </si>
  <si>
    <t>Información General del Negocio</t>
  </si>
  <si>
    <t>*Copia y original</t>
  </si>
  <si>
    <t>*Métodos de Pago</t>
  </si>
  <si>
    <t>*Horarios de atención</t>
  </si>
  <si>
    <t>Cédula Profesional</t>
  </si>
  <si>
    <t>*Dirección del negocio</t>
  </si>
  <si>
    <t>*Misión y Visión</t>
  </si>
  <si>
    <t>*Descripción del proceso del negocio</t>
  </si>
  <si>
    <t>Acta Constitutiva o Nombre de Persona Física</t>
  </si>
  <si>
    <t>*Textos Comerciales</t>
  </si>
  <si>
    <t>*Material audiovisual</t>
  </si>
  <si>
    <t>*Testimonios</t>
  </si>
  <si>
    <t>Atención a Clientes</t>
  </si>
  <si>
    <t>*Número</t>
  </si>
  <si>
    <t>*Correo</t>
  </si>
  <si>
    <t>GRACIAS</t>
  </si>
  <si>
    <t>CUALQUIER DUDA/ACLARACIÓN</t>
  </si>
  <si>
    <t>COMUNÍCATE CON NOSOTROS</t>
  </si>
  <si>
    <t>Cronograma para:</t>
  </si>
  <si>
    <t>proyecto inoximetal</t>
  </si>
  <si>
    <t>E3RSTSV1</t>
  </si>
  <si>
    <t>Cliente</t>
  </si>
  <si>
    <t>E3</t>
  </si>
  <si>
    <t>Ambos</t>
  </si>
  <si>
    <t>FASE</t>
  </si>
  <si>
    <t>Tareas</t>
  </si>
  <si>
    <t>Mes 1</t>
  </si>
  <si>
    <t>Mes 2</t>
  </si>
  <si>
    <t>Mes 3</t>
  </si>
  <si>
    <t>fase de creación</t>
  </si>
  <si>
    <t>Entrega de Contenido</t>
  </si>
  <si>
    <t>JUNTA. Entrega de Estudio de Demanda, Tendencias, Comp</t>
  </si>
  <si>
    <t>Proceso Creativo: Logo e Identidad</t>
  </si>
  <si>
    <t>JUNTA. Revisión y Aprobación de Logo e Identidad</t>
  </si>
  <si>
    <t>Entrega de Manual de Identidad</t>
  </si>
  <si>
    <t>Entrega de Contenido para Sitio Web</t>
  </si>
  <si>
    <t>Diseño de Estructura de Sitio Web</t>
  </si>
  <si>
    <t xml:space="preserve">JUNTA. Revisión y Aprobación de Estructura de Sitio Web        </t>
  </si>
  <si>
    <t>Diseño de Sitio Web</t>
  </si>
  <si>
    <t xml:space="preserve">JUNTA. Revisión y Aprobación de Sitio Web        </t>
  </si>
  <si>
    <t>Entrega de Sitio Web</t>
  </si>
  <si>
    <t>fase de configuración</t>
  </si>
  <si>
    <t>Desarrollo y configuración de Campañas de Google Ads</t>
  </si>
  <si>
    <t>Entrega de presupueto sugerencia de Pauta</t>
  </si>
  <si>
    <t>Arranque de Campañas de Google</t>
  </si>
  <si>
    <t>Inicio de Proceso de Retroalimentación</t>
  </si>
  <si>
    <t>Optimización de Campañas de Google</t>
  </si>
  <si>
    <t>Creación de Redes Sociales</t>
  </si>
  <si>
    <t>Creación de Arte para Publicidad</t>
  </si>
  <si>
    <t xml:space="preserve">Desarrollo y Configuración de Campañas de Remarketing en RS        </t>
  </si>
  <si>
    <t>Arranque de Campañas de Remarketing en Redes Sociales</t>
  </si>
  <si>
    <t>Retroalimentación de Campañas de Redes Sociales</t>
  </si>
  <si>
    <t>Optimización de Campañas de Campañas de Redes Sociales</t>
  </si>
  <si>
    <t>fase de crecimiento</t>
  </si>
  <si>
    <t xml:space="preserve">Blog (Desarrollo de Contenido)        </t>
  </si>
  <si>
    <t>Posicionamiento SEO</t>
  </si>
  <si>
    <t>Marketplaces</t>
  </si>
  <si>
    <t>Manejo de Redes Sociales</t>
  </si>
  <si>
    <t>fase de consolidación</t>
  </si>
  <si>
    <t>Ecommerce</t>
  </si>
  <si>
    <t>Chatbots</t>
  </si>
  <si>
    <t>Cotizador</t>
  </si>
  <si>
    <t>NOTAS</t>
  </si>
  <si>
    <t>* El inicio de este cronograma comienza al firmar contrato y recibir anticipo.</t>
  </si>
  <si>
    <t>* En caso de que el cliente no cumpla su actividad en el tiempo asignado, el cronograma se recorrerá una semana.</t>
  </si>
  <si>
    <t>logo e identidad</t>
  </si>
  <si>
    <t>Emprendedor</t>
  </si>
  <si>
    <t>Investigación de Tendencias, Mercado, Competencia y Demanda</t>
  </si>
  <si>
    <t>Propuesta del Logotipo</t>
  </si>
  <si>
    <t>Creación Logotipo</t>
  </si>
  <si>
    <t>Diseño de Aplicativos Físicos</t>
  </si>
  <si>
    <t>Diseño de Aplicativos Digitales</t>
  </si>
  <si>
    <t xml:space="preserve">Atención y asesoria al cliente </t>
  </si>
  <si>
    <t>Dólares</t>
  </si>
  <si>
    <t>PYME</t>
  </si>
  <si>
    <t>Kit Básico para Redes Sociales (Plantillas)</t>
  </si>
  <si>
    <t>1 portada básica, 1 foto de perfil, 1 template RSS</t>
  </si>
  <si>
    <t>empresario</t>
  </si>
  <si>
    <t>1 portada básica, 1 foto de perfil, 4 template RSS</t>
  </si>
  <si>
    <t>CORPORATIVO</t>
  </si>
  <si>
    <t>3 portada básica, 1 foto de perfil, 6 template RSS</t>
  </si>
  <si>
    <t>Iconografía</t>
  </si>
  <si>
    <t>Registro del IMPI</t>
  </si>
  <si>
    <t>10 años</t>
  </si>
  <si>
    <t>SITIO WEB</t>
  </si>
  <si>
    <t>EMPRENDEDOR</t>
  </si>
  <si>
    <t>Propuesta de Diseño</t>
  </si>
  <si>
    <t>Alta en Buscadores</t>
  </si>
  <si>
    <t>Creación, Configuración y Optimización de Sitio Web</t>
  </si>
  <si>
    <t>Cuentas de E-mail con Dominio</t>
  </si>
  <si>
    <t>Configuración de Chat en Sitio Web</t>
  </si>
  <si>
    <r>
      <rPr>
        <rFont val="Arial"/>
        <color rgb="FF000000"/>
        <sz val="8.0"/>
      </rPr>
      <t>P</t>
    </r>
    <r>
      <rPr>
        <rFont val="Arial"/>
        <color rgb="FF000000"/>
        <sz val="10.0"/>
      </rPr>
      <t xml:space="preserve">áginas base </t>
    </r>
    <r>
      <rPr>
        <rFont val="Arial"/>
        <color rgb="FF000000"/>
        <sz val="8.0"/>
      </rPr>
      <t>(Gracias/Políticas de Privacidad /Términos y Condiciones/Contacto/Nosotros/404)</t>
    </r>
  </si>
  <si>
    <r>
      <rPr>
        <rFont val="Arial"/>
        <color theme="1"/>
      </rPr>
      <t xml:space="preserve">Optimización </t>
    </r>
    <r>
      <rPr>
        <rFont val="Arial"/>
        <b/>
        <color theme="1"/>
      </rPr>
      <t>Básico</t>
    </r>
    <r>
      <rPr>
        <rFont val="Arial"/>
        <color theme="1"/>
      </rPr>
      <t xml:space="preserve"> SEO</t>
    </r>
  </si>
  <si>
    <t>Diseño Responsivo</t>
  </si>
  <si>
    <r>
      <rPr>
        <rFont val="Arial"/>
        <color theme="1"/>
      </rPr>
      <t xml:space="preserve">Optimización </t>
    </r>
    <r>
      <rPr>
        <rFont val="Arial"/>
        <b/>
        <color theme="1"/>
      </rPr>
      <t>básica</t>
    </r>
    <r>
      <rPr>
        <rFont val="Arial"/>
        <color theme="1"/>
      </rPr>
      <t xml:space="preserve"> de Velocidad de Carga </t>
    </r>
  </si>
  <si>
    <t>Integración de Formulario</t>
  </si>
  <si>
    <t>Estadísticas de Sitio Web (mensual)</t>
  </si>
  <si>
    <t>Espacio 12 GB</t>
  </si>
  <si>
    <t>Cambios Información al Mes (No Acumulable)</t>
  </si>
  <si>
    <t>Certificado Seguridad SSL</t>
  </si>
  <si>
    <t>1 año</t>
  </si>
  <si>
    <t>Capacitación básica para Manejo de Sitio Web</t>
  </si>
  <si>
    <t>Integración de Hosting ($2,500)</t>
  </si>
  <si>
    <t xml:space="preserve">Reuniones de Trabajo </t>
  </si>
  <si>
    <t>Asesoría y Adquisición de Dominio ($500)</t>
  </si>
  <si>
    <r>
      <rPr>
        <rFont val="Arial"/>
        <color rgb="FF000000"/>
        <sz val="8.0"/>
      </rPr>
      <t>P</t>
    </r>
    <r>
      <rPr>
        <rFont val="Arial"/>
        <color rgb="FF000000"/>
        <sz val="10.0"/>
      </rPr>
      <t xml:space="preserve">áginas base </t>
    </r>
    <r>
      <rPr>
        <rFont val="Arial"/>
        <color rgb="FF000000"/>
        <sz val="8.0"/>
      </rPr>
      <t>(Gracias/Políticas de Privacidad /Términos y Condiciones/Contacto/Nosotros/404)</t>
    </r>
  </si>
  <si>
    <r>
      <rPr>
        <rFont val="Arial"/>
        <color theme="1"/>
      </rPr>
      <t xml:space="preserve">Optimización </t>
    </r>
    <r>
      <rPr>
        <rFont val="Arial"/>
        <b/>
        <color theme="1"/>
      </rPr>
      <t>Básico</t>
    </r>
    <r>
      <rPr>
        <rFont val="Arial"/>
        <color theme="1"/>
      </rPr>
      <t xml:space="preserve"> SEO</t>
    </r>
  </si>
  <si>
    <r>
      <rPr>
        <rFont val="Arial"/>
        <color theme="1"/>
      </rPr>
      <t xml:space="preserve">Optimización </t>
    </r>
    <r>
      <rPr>
        <rFont val="Arial"/>
        <b/>
        <color theme="1"/>
      </rPr>
      <t>básica</t>
    </r>
    <r>
      <rPr>
        <rFont val="Arial"/>
        <color theme="1"/>
      </rPr>
      <t xml:space="preserve"> de Velocidad de Carga </t>
    </r>
  </si>
  <si>
    <t>EMPREsariAL</t>
  </si>
  <si>
    <r>
      <rPr>
        <rFont val="Arial"/>
        <color rgb="FF000000"/>
        <sz val="8.0"/>
      </rPr>
      <t>P</t>
    </r>
    <r>
      <rPr>
        <rFont val="Arial"/>
        <color rgb="FF000000"/>
        <sz val="10.0"/>
      </rPr>
      <t xml:space="preserve">áginas base </t>
    </r>
    <r>
      <rPr>
        <rFont val="Arial"/>
        <color rgb="FF000000"/>
        <sz val="8.0"/>
      </rPr>
      <t>(Gracias/Políticas de Privacidad /Términos y Condiciones/Contacto/Nosotros/404)</t>
    </r>
  </si>
  <si>
    <r>
      <rPr>
        <rFont val="Arial"/>
        <color theme="1"/>
      </rPr>
      <t xml:space="preserve">Optimización </t>
    </r>
    <r>
      <rPr>
        <rFont val="Arial"/>
        <b/>
        <color theme="1"/>
      </rPr>
      <t>Básico</t>
    </r>
    <r>
      <rPr>
        <rFont val="Arial"/>
        <color theme="1"/>
      </rPr>
      <t xml:space="preserve"> SEO</t>
    </r>
  </si>
  <si>
    <r>
      <rPr>
        <rFont val="Arial"/>
        <color theme="1"/>
      </rPr>
      <t xml:space="preserve">Optimización </t>
    </r>
    <r>
      <rPr>
        <rFont val="Arial"/>
        <b/>
        <color theme="1"/>
      </rPr>
      <t>básica</t>
    </r>
    <r>
      <rPr>
        <rFont val="Arial"/>
        <color theme="1"/>
      </rPr>
      <t xml:space="preserve"> de Velocidad de Carga </t>
    </r>
  </si>
  <si>
    <t>Integración Base de Datos para Correo</t>
  </si>
  <si>
    <t>Asesoría y Adquisicion de Dominio ($500)</t>
  </si>
  <si>
    <r>
      <rPr>
        <rFont val="Arial"/>
        <color rgb="FF000000"/>
        <sz val="8.0"/>
      </rPr>
      <t>P</t>
    </r>
    <r>
      <rPr>
        <rFont val="Arial"/>
        <color rgb="FF000000"/>
        <sz val="10.0"/>
      </rPr>
      <t xml:space="preserve">áginas base </t>
    </r>
    <r>
      <rPr>
        <rFont val="Arial"/>
        <color rgb="FF000000"/>
        <sz val="8.0"/>
      </rPr>
      <t>(Gracias/Políticas de Privacidad /Términos y Condiciones/Contacto/Nosotros/404/Bolsa de Trabajo)</t>
    </r>
  </si>
  <si>
    <r>
      <rPr>
        <rFont val="Arial"/>
        <color theme="1"/>
      </rPr>
      <t xml:space="preserve">Optimización </t>
    </r>
    <r>
      <rPr>
        <rFont val="Arial"/>
        <b/>
        <color theme="1"/>
      </rPr>
      <t>Avanzado</t>
    </r>
    <r>
      <rPr>
        <rFont val="Arial"/>
        <color theme="1"/>
      </rPr>
      <t xml:space="preserve"> SEO</t>
    </r>
  </si>
  <si>
    <r>
      <rPr>
        <rFont val="Arial"/>
        <color theme="1"/>
      </rPr>
      <t xml:space="preserve">Optimización </t>
    </r>
    <r>
      <rPr>
        <rFont val="Arial"/>
        <b/>
        <color theme="1"/>
      </rPr>
      <t>Avanzado</t>
    </r>
    <r>
      <rPr>
        <rFont val="Arial"/>
        <color theme="1"/>
      </rPr>
      <t xml:space="preserve"> de Velocidad de Carga </t>
    </r>
  </si>
  <si>
    <t>Optimización SEO Local</t>
  </si>
  <si>
    <t>Escritura Comercial</t>
  </si>
  <si>
    <t>Integración CRM</t>
  </si>
  <si>
    <t>Google ads</t>
  </si>
  <si>
    <t>emprendedor</t>
  </si>
  <si>
    <t xml:space="preserve">Creación y Configuración de cuenta Google Ads </t>
  </si>
  <si>
    <t>Investigación y Optimización de palabras clave positivas y negativas</t>
  </si>
  <si>
    <t xml:space="preserve">Creación de Campañas Publicitarias </t>
  </si>
  <si>
    <t>1 a 3</t>
  </si>
  <si>
    <t>Optimización de presupuesto de Campañas diaria</t>
  </si>
  <si>
    <t xml:space="preserve">Integración de etiqueta de pixéles de conversión </t>
  </si>
  <si>
    <t xml:space="preserve">Reporte de Resultado mensual y junta de retroalimentación </t>
  </si>
  <si>
    <t>1 a 6</t>
  </si>
  <si>
    <t>Configuración de Anuncios de Remarketing</t>
  </si>
  <si>
    <t>EMPRESARIO</t>
  </si>
  <si>
    <t>Configuración de Anuncios para Red Display</t>
  </si>
  <si>
    <t>Automatización de envío de Ficha de Prospectos</t>
  </si>
  <si>
    <t>Integración de Herramientas de automatización</t>
  </si>
  <si>
    <t>Configuración de cuenta BING</t>
  </si>
  <si>
    <t xml:space="preserve">Coniguració de Campañas BING </t>
  </si>
  <si>
    <t>Configuración de Google Merchant Center</t>
  </si>
  <si>
    <t xml:space="preserve">Configuración y Optimización del Fit de productos </t>
  </si>
  <si>
    <t xml:space="preserve">Configuración de Campañas para Shopping </t>
  </si>
  <si>
    <t xml:space="preserve">Investigación, Segmentación y Optimización del Público Objetivo </t>
  </si>
  <si>
    <t>Creación y ConfiguracIón de la Administrador de Anuncios</t>
  </si>
  <si>
    <t>Creación de Artes para Anuncios Publicitarios</t>
  </si>
  <si>
    <t>Creación y Configuración de Campañas Publicitarias</t>
  </si>
  <si>
    <t xml:space="preserve">Configuración de lista de Remarketing </t>
  </si>
  <si>
    <t xml:space="preserve">Optimización de presupuesto diario y campañas publicitarias </t>
  </si>
  <si>
    <t>1 a 8</t>
  </si>
  <si>
    <t>Integración de herramientas de automatización</t>
  </si>
  <si>
    <t>1 a 15</t>
  </si>
  <si>
    <t>Creación de Anuncios para Shopping</t>
  </si>
  <si>
    <t xml:space="preserve">Configuración de cátalogo de Productos de Facebook </t>
  </si>
  <si>
    <t>SEO</t>
  </si>
  <si>
    <t xml:space="preserve">No. KeyWords </t>
  </si>
  <si>
    <t xml:space="preserve">Integración y Configuración de Google Search Console </t>
  </si>
  <si>
    <t>Estudio y definición de Palabras Clave</t>
  </si>
  <si>
    <t>Integración  y Configuración de Google Analytics</t>
  </si>
  <si>
    <t>Análisis de la competencia</t>
  </si>
  <si>
    <t xml:space="preserve">Plan para desarrollo de contenido Estrátegico para SEO </t>
  </si>
  <si>
    <t>Optimización técnica de la estructura del Sitio a nivel SEO</t>
  </si>
  <si>
    <t>Estrategia y Generación de BackLinks</t>
  </si>
  <si>
    <t xml:space="preserve">Otimización de la velocidad de carga en Sitio </t>
  </si>
  <si>
    <t xml:space="preserve">Alta de Buscadores </t>
  </si>
  <si>
    <t>Creación y Optimización del Sitemap.xml</t>
  </si>
  <si>
    <t>Generación de tráfico social a tu Sitio Web</t>
  </si>
  <si>
    <t xml:space="preserve">Reporte mensual de tráfico y posición Web </t>
  </si>
  <si>
    <t>Sindicacion en Redes Sociales Externas</t>
  </si>
  <si>
    <t>Optimización de SEO local
(Google My Business)</t>
  </si>
  <si>
    <t>Desarrollo de contenido para Sitios Externos</t>
  </si>
  <si>
    <t>tienda en línea</t>
  </si>
  <si>
    <t>Configuración en tienda en Línea
(Magento, Shopify, WordPress)</t>
  </si>
  <si>
    <t>Elección de plantilla y Estructura de diseño para Sitio web (UX,UI)</t>
  </si>
  <si>
    <t>Integración de  Hosting  $2,500</t>
  </si>
  <si>
    <t>Desarrollo y Estructura de tienda en Línea Optimizada para SEO</t>
  </si>
  <si>
    <t>Asesoría y Adquisicion de Dominio $500</t>
  </si>
  <si>
    <t xml:space="preserve">Creación y Configuración de Catégorias </t>
  </si>
  <si>
    <t xml:space="preserve">Integración de métodos de pago </t>
  </si>
  <si>
    <t>Diseño y Configuración de Blog</t>
  </si>
  <si>
    <t>Integración de métodos de envío</t>
  </si>
  <si>
    <t>Carga de Productos</t>
  </si>
  <si>
    <t>Integración de Chat</t>
  </si>
  <si>
    <t xml:space="preserve">Capacitación </t>
  </si>
  <si>
    <t>Integración y Configuración de Google Analytics</t>
  </si>
  <si>
    <t>Integración y Configuración de Search Console</t>
  </si>
  <si>
    <t>Configuracón de productos seleccionados y recomendados
(upsell, cross selling)</t>
  </si>
  <si>
    <t>Estrategias para recuperación de carritos abandonados</t>
  </si>
  <si>
    <t>Desarrollo de Contenido SEO</t>
  </si>
  <si>
    <t>Asesoramientos para estrategias de promociones y descuentos</t>
  </si>
  <si>
    <t>E-COMMERCE</t>
  </si>
  <si>
    <t xml:space="preserve">Configuración e Integración de programas de lealtad </t>
  </si>
  <si>
    <t>Manejo de RSS</t>
  </si>
  <si>
    <t>Creación, Configuración y/o Optimización de página de Facebook</t>
  </si>
  <si>
    <t>Medición de conversiones</t>
  </si>
  <si>
    <t xml:space="preserve"> Estrategia de contenido Publicitario</t>
  </si>
  <si>
    <t>Creación de embudo de conversión</t>
  </si>
  <si>
    <t xml:space="preserve">Desarrollo de Cover </t>
  </si>
  <si>
    <t>Creación de artes y copys para Post</t>
  </si>
  <si>
    <t>Posteos de Publicación al mes</t>
  </si>
  <si>
    <t>Asesoria al cliente por vía correo electronico (en un lapso de 24hrs)</t>
  </si>
  <si>
    <t>Informes periodicos</t>
  </si>
  <si>
    <t>Integración de Google Analytics</t>
  </si>
  <si>
    <t>Integración Search Console</t>
  </si>
  <si>
    <t>Desarrollo Tienda en Línea Optimizada</t>
  </si>
  <si>
    <t>Video</t>
  </si>
  <si>
    <t>Gifs</t>
  </si>
  <si>
    <t>Dinámicas</t>
  </si>
  <si>
    <t>Concursos</t>
  </si>
  <si>
    <t xml:space="preserve">Manejo Inmediato de Crisis </t>
  </si>
  <si>
    <t xml:space="preserve">Asesoría y Elección Plataforma </t>
  </si>
  <si>
    <t>Estructura Tienda en Línea Optimizada</t>
  </si>
  <si>
    <t>Hosting, Elección y Asesoría Dominio</t>
  </si>
  <si>
    <t>Creación de Categorías</t>
  </si>
  <si>
    <t>Certificado SSL</t>
  </si>
  <si>
    <t>Configuración de Categorías</t>
  </si>
  <si>
    <t>Asesoría y Elección Plantilla Base</t>
  </si>
  <si>
    <t>Diseño de Blog</t>
  </si>
  <si>
    <t>Configuración en Tienda en Línea</t>
  </si>
  <si>
    <t>Configuración de Blog</t>
  </si>
  <si>
    <t>Integración Métodos de Pago</t>
  </si>
  <si>
    <t>Integración Métodos de Envío</t>
  </si>
  <si>
    <t>Diseño y Personalización de Tienda</t>
  </si>
  <si>
    <t xml:space="preserve">Integración de Chat </t>
  </si>
  <si>
    <t>Capacitación</t>
  </si>
  <si>
    <t>Configuración Páginas Transaccionales</t>
  </si>
  <si>
    <t>Puesta en Marcha</t>
  </si>
  <si>
    <t>Integración Google Analytics</t>
  </si>
  <si>
    <t>Soporte por Correo Electrónico</t>
  </si>
  <si>
    <t>Juntas de Retroalimentación cada Mes</t>
  </si>
  <si>
    <t>12 hrs</t>
  </si>
  <si>
    <t>8 hrs</t>
  </si>
  <si>
    <t>Diseño Responsivo UX</t>
  </si>
  <si>
    <t>Config. Carritos Abandonados</t>
  </si>
  <si>
    <t>Up-Selling, Cross-Selling</t>
  </si>
  <si>
    <t>ilimitados</t>
  </si>
  <si>
    <t>inmediata</t>
  </si>
  <si>
    <t>Desarrollo Contenido SEO</t>
  </si>
  <si>
    <t>Asesoramiento Promociones y Dtos.</t>
  </si>
  <si>
    <t>Config. Programas Lealtad</t>
  </si>
  <si>
    <t>Menú digital</t>
  </si>
  <si>
    <t>Diseño de Menú Digital</t>
  </si>
  <si>
    <t>QR Personalizado / Dinámico</t>
  </si>
  <si>
    <t>Diseño de Pegatinas</t>
  </si>
  <si>
    <t>Un Idioma (Español)</t>
  </si>
  <si>
    <t>Lecturas Ilimitadas</t>
  </si>
  <si>
    <t>Alojamiento de Menú y QR</t>
  </si>
  <si>
    <t>Soporte por Ticket</t>
  </si>
  <si>
    <t>Juntas de Retroalimentación Cada Mes</t>
  </si>
  <si>
    <t>Integración de Redes Sociales</t>
  </si>
  <si>
    <t>Hasta 100 Productos</t>
  </si>
  <si>
    <t>Actualizaciones por Año</t>
  </si>
  <si>
    <t>Botón de WhatsApp</t>
  </si>
  <si>
    <t>Promoción Mensual</t>
  </si>
  <si>
    <t>Captación de Base de Datos</t>
  </si>
  <si>
    <t>E-mail Marketing Automation</t>
  </si>
  <si>
    <t>Templates a Elegir</t>
  </si>
  <si>
    <t>Página Web (Menú Digital)</t>
  </si>
  <si>
    <t>Pago en Línea</t>
  </si>
  <si>
    <t>Personalización de Productos</t>
  </si>
  <si>
    <t>Guía de Nutrición por Producto</t>
  </si>
  <si>
    <t>Múltiples Addons</t>
  </si>
  <si>
    <t>Notificación de Nueva Orden</t>
  </si>
  <si>
    <t>Mensajes de Horarios de Atención</t>
  </si>
  <si>
    <t>Múltiples Menús o Secciones</t>
  </si>
  <si>
    <t>100% Responsivo</t>
  </si>
  <si>
    <t>Etiquetas Personalizables</t>
  </si>
  <si>
    <t>Y Mucho Más...</t>
  </si>
  <si>
    <t>ESTRATEGIA EMPRESARIAL EN ECOMMERCE</t>
  </si>
  <si>
    <t>INCLUYE:</t>
  </si>
  <si>
    <t>Auditoría completa de situación actual del SEO del Sitio</t>
  </si>
  <si>
    <t>Auditoría Técnica de Shopify</t>
  </si>
  <si>
    <t>Auditoría en Seguridad de Shopify</t>
  </si>
  <si>
    <t>Estudio de canales de comunicación y captación</t>
  </si>
  <si>
    <t>Estudio de Segmentos de Mercado para Landings Pages de prospección</t>
  </si>
  <si>
    <t>Estudio de Keyword Research para Categorización Jerárquica de Ecommerce</t>
  </si>
  <si>
    <t xml:space="preserve">Estudio de Keyword Research para creación de Landing Page para prospección </t>
  </si>
  <si>
    <t>Estudio de competencia orgánica</t>
  </si>
  <si>
    <t>Estudio de competencia pagada</t>
  </si>
  <si>
    <t>Estudio de tendencias</t>
  </si>
  <si>
    <t>ADICIONALES:</t>
  </si>
  <si>
    <t>Embudo de ventas para Ecommerce</t>
  </si>
  <si>
    <t>Embudo de ventas para captación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</si>
</sst>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$]#,##0.00"/>
    <numFmt numFmtId="166" formatCode="d-m"/>
    <numFmt numFmtId="167" formatCode="d/MM/yyyy"/>
    <numFmt numFmtId="168" formatCode="dd&quot;/&quot;mm&quot;/&quot;yy"/>
  </numFmts>
  <fonts count="47">
    <font>
      <sz val="10.0"/>
      <color rgb="FF000000"/>
      <name val="Arial"/>
      <scheme val="minor"/>
    </font>
    <font>
      <sz val="12.0"/>
      <color rgb="FFFFFFFF"/>
      <name val="Arial"/>
    </font>
    <font>
      <color theme="1"/>
      <name val="Arial"/>
      <scheme val="minor"/>
    </font>
    <font>
      <sz val="14.0"/>
      <color rgb="FFFFFFFF"/>
      <name val="Arial"/>
    </font>
    <font>
      <color rgb="FFFFFFFF"/>
      <name val="Arial"/>
      <scheme val="minor"/>
    </font>
    <font>
      <sz val="9.0"/>
      <color rgb="FFFFFFFF"/>
      <name val="Arial"/>
      <scheme val="minor"/>
    </font>
    <font>
      <sz val="36.0"/>
      <color rgb="FFFFFFFF"/>
      <name val="Bebas Neue"/>
    </font>
    <font>
      <sz val="45.0"/>
      <color rgb="FFFFFFFF"/>
      <name val="Bebas Neue"/>
    </font>
    <font>
      <sz val="32.0"/>
      <color rgb="FFFFFFFF"/>
      <name val="Bebas Neue"/>
    </font>
    <font>
      <sz val="24.0"/>
      <color theme="1"/>
      <name val="Bebas Neue"/>
    </font>
    <font>
      <sz val="28.0"/>
      <color rgb="FFFFFFFF"/>
      <name val="Bebas Neue"/>
    </font>
    <font>
      <sz val="28.0"/>
      <color rgb="FF000000"/>
      <name val="Bebas Neue"/>
    </font>
    <font>
      <sz val="10.0"/>
      <color rgb="FF000000"/>
      <name val="Arial"/>
    </font>
    <font/>
    <font>
      <sz val="10.0"/>
      <color theme="1"/>
      <name val="Arial"/>
      <scheme val="minor"/>
    </font>
    <font>
      <sz val="14.0"/>
      <color rgb="FFFFFFFF"/>
      <name val="Bebas Neue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4.0"/>
      <color theme="1"/>
      <name val="Bebas Neue"/>
    </font>
    <font>
      <sz val="18.0"/>
      <color theme="1"/>
      <name val="Bebas Neue"/>
    </font>
    <font>
      <sz val="24.0"/>
      <color rgb="FFFFFFFF"/>
      <name val="Bebas Neue"/>
    </font>
    <font>
      <sz val="24.0"/>
      <color rgb="FF000000"/>
      <name val="Bebas Neue"/>
    </font>
    <font>
      <i/>
      <sz val="9.0"/>
      <color theme="1"/>
      <name val="Arial"/>
      <scheme val="minor"/>
    </font>
    <font>
      <b/>
      <color theme="1"/>
      <name val="Arial"/>
      <scheme val="minor"/>
    </font>
    <font>
      <sz val="28.0"/>
      <color rgb="FF000000"/>
      <name val="&quot;Bebas Neue&quot;"/>
    </font>
    <font>
      <color theme="1"/>
      <name val="Arial"/>
    </font>
    <font>
      <color rgb="FF000000"/>
      <name val="Arial"/>
    </font>
    <font>
      <sz val="10.0"/>
      <color theme="1"/>
      <name val="Arial"/>
    </font>
    <font>
      <sz val="14.0"/>
      <color rgb="FFFFFFFF"/>
      <name val="&quot;Bebas Neue&quot;"/>
    </font>
    <font>
      <sz val="20.0"/>
      <color theme="1"/>
      <name val="Bebas Neue"/>
    </font>
    <font>
      <sz val="90.0"/>
      <color rgb="FF000000"/>
      <name val="Bebas Neue"/>
    </font>
    <font>
      <sz val="80.0"/>
      <color theme="1"/>
      <name val="&quot;Bebas Neue&quot;"/>
    </font>
    <font>
      <sz val="36.0"/>
      <color rgb="FF000000"/>
      <name val="&quot;Bebas Neue&quot;"/>
    </font>
    <font>
      <sz val="18.0"/>
      <color rgb="FFFFFFFF"/>
      <name val="&quot;Bebas Neue&quot;"/>
    </font>
    <font>
      <sz val="28.0"/>
      <color rgb="FFFFFFFF"/>
      <name val="&quot;docs-Bebas Neue&quot;"/>
    </font>
    <font>
      <color rgb="FFFFFFFF"/>
      <name val="Arial"/>
    </font>
    <font>
      <sz val="40.0"/>
      <color rgb="FFFFFFFF"/>
      <name val="Bebas Neue"/>
    </font>
    <font>
      <sz val="18.0"/>
      <color rgb="FF000000"/>
      <name val="Bebas Neue"/>
    </font>
    <font>
      <sz val="16.0"/>
      <color theme="1"/>
      <name val="Bebas Neue"/>
    </font>
    <font>
      <b/>
      <sz val="14.0"/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</font>
    <font>
      <b/>
      <sz val="14.0"/>
      <color rgb="FF000000"/>
      <name val="Arial"/>
    </font>
    <font>
      <b/>
      <sz val="14.0"/>
      <color theme="1"/>
      <name val="Arial"/>
    </font>
    <font>
      <b/>
      <sz val="15.0"/>
      <color theme="1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</fills>
  <borders count="44">
    <border/>
    <border>
      <bottom style="dotted">
        <color rgb="FF000000"/>
      </bottom>
    </border>
    <border>
      <left style="thin">
        <color rgb="FF000000"/>
      </left>
    </border>
    <border>
      <top style="dotted">
        <color rgb="FF000000"/>
      </top>
    </border>
    <border>
      <left style="thin">
        <color rgb="FF000000"/>
      </left>
      <top style="dotted">
        <color rgb="FF000000"/>
      </top>
    </border>
    <border>
      <top style="dotted">
        <color rgb="FF000000"/>
      </top>
      <bottom style="dotted">
        <color rgb="FF000000"/>
      </bottom>
    </border>
    <border>
      <right/>
      <bottom style="dotted">
        <color rgb="FF000000"/>
      </bottom>
    </border>
    <border>
      <right/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FFFFFF"/>
      </right>
    </border>
    <border>
      <left style="hair">
        <color rgb="FFFFFFFF"/>
      </left>
      <right style="hair">
        <color rgb="FFFFFFFF"/>
      </right>
    </border>
    <border>
      <left style="hair">
        <color rgb="FFFFFFFF"/>
      </left>
      <right style="thin">
        <color rgb="FF000000"/>
      </right>
    </border>
    <border>
      <bottom style="hair">
        <color rgb="FFFFFFFF"/>
      </bottom>
    </border>
    <border>
      <left style="thin">
        <color rgb="FF000000"/>
      </left>
      <right style="hair">
        <color rgb="FF999999"/>
      </right>
      <bottom style="hair">
        <color rgb="FF999999"/>
      </bottom>
    </border>
    <border>
      <right style="hair">
        <color rgb="FF999999"/>
      </right>
      <bottom style="hair">
        <color rgb="FF999999"/>
      </bottom>
    </border>
    <border>
      <left style="hair">
        <color rgb="FF999999"/>
      </left>
      <right style="hair">
        <color rgb="FF999999"/>
      </right>
      <bottom style="hair">
        <color rgb="FF999999"/>
      </bottom>
    </border>
    <border>
      <left style="hair">
        <color rgb="FF999999"/>
      </left>
      <right style="thin">
        <color rgb="FF000000"/>
      </right>
      <bottom style="hair">
        <color rgb="FF999999"/>
      </bottom>
    </border>
    <border>
      <right style="thin">
        <color rgb="FFD9D9D9"/>
      </right>
      <bottom style="hair">
        <color rgb="FFFFFFFF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right style="thin">
        <color rgb="FF000000"/>
      </right>
      <top style="hair">
        <color rgb="FF999999"/>
      </top>
      <bottom style="hair">
        <color rgb="FF999999"/>
      </bottom>
    </border>
    <border>
      <left style="thin">
        <color rgb="FF000000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bottom style="medium">
        <color rgb="FF000000"/>
      </bottom>
    </border>
    <border>
      <left style="thin">
        <color rgb="FF000000"/>
      </left>
      <right style="hair">
        <color rgb="FF999999"/>
      </right>
      <top style="hair">
        <color rgb="FF999999"/>
      </top>
      <bottom style="medium">
        <color rgb="FF000000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medium">
        <color rgb="FF000000"/>
      </bottom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999999"/>
      </left>
      <right style="thin">
        <color rgb="FF000000"/>
      </right>
      <top style="hair">
        <color rgb="FF999999"/>
      </top>
    </border>
    <border>
      <left style="thin">
        <color rgb="FF000000"/>
      </left>
      <right style="hair">
        <color rgb="FF999999"/>
      </right>
      <top style="hair">
        <color rgb="FF999999"/>
      </top>
    </border>
    <border>
      <left style="hair">
        <color rgb="FF999999"/>
      </left>
      <right style="thin">
        <color rgb="FF000000"/>
      </right>
      <top style="hair">
        <color rgb="FF999999"/>
      </top>
      <bottom style="medium">
        <color rgb="FF000000"/>
      </bottom>
    </border>
    <border>
      <top style="medium">
        <color rgb="FF000000"/>
      </top>
      <bottom style="hair">
        <color rgb="FFFFFFFF"/>
      </bottom>
    </border>
    <border>
      <left style="thin">
        <color rgb="FF000000"/>
      </left>
      <right style="hair">
        <color rgb="FF999999"/>
      </right>
      <top style="medium">
        <color rgb="FF000000"/>
      </top>
      <bottom style="hair">
        <color rgb="FF999999"/>
      </bottom>
    </border>
    <border>
      <left style="hair">
        <color rgb="FF999999"/>
      </left>
      <right style="hair">
        <color rgb="FF999999"/>
      </right>
      <top style="medium">
        <color rgb="FF000000"/>
      </top>
      <bottom style="hair">
        <color rgb="FF999999"/>
      </bottom>
    </border>
    <border>
      <left style="hair">
        <color rgb="FF999999"/>
      </left>
      <top style="medium">
        <color rgb="FF000000"/>
      </top>
      <bottom style="hair">
        <color rgb="FF999999"/>
      </bottom>
    </border>
    <border>
      <top style="medium">
        <color rgb="FF000000"/>
      </top>
    </border>
    <border>
      <right style="hair">
        <color rgb="FF999999"/>
      </right>
      <top style="medium">
        <color rgb="FF000000"/>
      </top>
      <bottom style="hair">
        <color rgb="FF999999"/>
      </bottom>
    </border>
    <border>
      <left style="hair">
        <color rgb="FF999999"/>
      </left>
      <right style="thin">
        <color rgb="FF000000"/>
      </right>
      <top style="medium">
        <color rgb="FF000000"/>
      </top>
      <bottom style="hair">
        <color rgb="FF999999"/>
      </bottom>
    </border>
    <border>
      <left style="thin">
        <color rgb="FF000000"/>
      </left>
      <bottom style="hair">
        <color rgb="FFFFFFFF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Font="1"/>
    <xf borderId="0" fillId="2" fontId="3" numFmtId="0" xfId="0" applyAlignment="1" applyFont="1">
      <alignment horizontal="left" readingOrder="0" vertical="bottom"/>
    </xf>
    <xf borderId="0" fillId="2" fontId="4" numFmtId="0" xfId="0" applyFont="1"/>
    <xf borderId="0" fillId="2" fontId="5" numFmtId="0" xfId="0" applyAlignment="1" applyFont="1">
      <alignment horizontal="right"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horizontal="left" readingOrder="0" vertical="center"/>
    </xf>
    <xf borderId="0" fillId="2" fontId="7" numFmtId="0" xfId="0" applyAlignment="1" applyFont="1">
      <alignment horizontal="left" readingOrder="0" vertical="top"/>
    </xf>
    <xf borderId="0" fillId="2" fontId="8" numFmtId="0" xfId="0" applyAlignment="1" applyFont="1">
      <alignment horizontal="left" readingOrder="0" vertical="top"/>
    </xf>
    <xf borderId="0" fillId="2" fontId="5" numFmtId="0" xfId="0" applyAlignment="1" applyFont="1">
      <alignment horizontal="right" readingOrder="0" vertical="center"/>
    </xf>
    <xf borderId="0" fillId="2" fontId="5" numFmtId="164" xfId="0" applyAlignment="1" applyFont="1" applyNumberFormat="1">
      <alignment horizontal="left" readingOrder="0" vertical="center"/>
    </xf>
    <xf borderId="0" fillId="2" fontId="5" numFmtId="0" xfId="0" applyAlignment="1" applyFont="1">
      <alignment horizontal="right" readingOrder="0" vertical="top"/>
    </xf>
    <xf borderId="0" fillId="2" fontId="5" numFmtId="164" xfId="0" applyAlignment="1" applyFont="1" applyNumberFormat="1">
      <alignment horizontal="left" readingOrder="0" vertical="top"/>
    </xf>
    <xf borderId="0" fillId="3" fontId="2" numFmtId="0" xfId="0" applyFill="1" applyFont="1"/>
    <xf borderId="0" fillId="3" fontId="7" numFmtId="0" xfId="0" applyAlignment="1" applyFont="1">
      <alignment horizontal="left" readingOrder="0" vertical="top"/>
    </xf>
    <xf borderId="0" fillId="3" fontId="6" numFmtId="0" xfId="0" applyAlignment="1" applyFont="1">
      <alignment horizontal="left" readingOrder="0" vertical="top"/>
    </xf>
    <xf borderId="0" fillId="3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2" fontId="10" numFmtId="0" xfId="0" applyAlignment="1" applyFont="1">
      <alignment horizontal="center" readingOrder="0" textRotation="90" vertical="center"/>
    </xf>
    <xf borderId="0" fillId="3" fontId="11" numFmtId="0" xfId="0" applyAlignment="1" applyFont="1">
      <alignment horizontal="left" readingOrder="0"/>
    </xf>
    <xf borderId="1" fillId="0" fontId="12" numFmtId="0" xfId="0" applyAlignment="1" applyBorder="1" applyFont="1">
      <alignment readingOrder="0" shrinkToFit="0" wrapText="1"/>
    </xf>
    <xf borderId="1" fillId="0" fontId="13" numFmtId="0" xfId="0" applyBorder="1" applyFont="1"/>
    <xf borderId="1" fillId="0" fontId="14" numFmtId="0" xfId="0" applyBorder="1" applyFont="1"/>
    <xf borderId="1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0" fillId="2" fontId="15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14" numFmtId="0" xfId="0" applyAlignment="1" applyBorder="1" applyFont="1">
      <alignment readingOrder="0"/>
    </xf>
    <xf borderId="0" fillId="0" fontId="16" numFmtId="0" xfId="0" applyFont="1"/>
    <xf borderId="0" fillId="0" fontId="17" numFmtId="0" xfId="0" applyFont="1"/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 shrinkToFit="0" vertical="center" wrapText="1"/>
    </xf>
    <xf borderId="0" fillId="2" fontId="20" numFmtId="165" xfId="0" applyAlignment="1" applyFont="1" applyNumberFormat="1">
      <alignment horizontal="center" readingOrder="0" vertical="center"/>
    </xf>
    <xf borderId="0" fillId="3" fontId="21" numFmtId="0" xfId="0" applyAlignment="1" applyFont="1">
      <alignment horizontal="left" readingOrder="0" vertical="top"/>
    </xf>
    <xf borderId="1" fillId="0" fontId="2" numFmtId="0" xfId="0" applyBorder="1" applyFont="1"/>
    <xf borderId="0" fillId="0" fontId="19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/>
    </xf>
    <xf borderId="0" fillId="0" fontId="22" numFmtId="0" xfId="0" applyAlignment="1" applyFont="1">
      <alignment horizontal="center" readingOrder="0" vertical="top"/>
    </xf>
    <xf borderId="0" fillId="0" fontId="2" numFmtId="9" xfId="0" applyAlignment="1" applyFont="1" applyNumberFormat="1">
      <alignment horizontal="center" readingOrder="0"/>
    </xf>
    <xf borderId="2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3" fillId="0" fontId="2" numFmtId="0" xfId="0" applyAlignment="1" applyBorder="1" applyFont="1">
      <alignment horizontal="center"/>
    </xf>
    <xf borderId="4" fillId="0" fontId="23" numFmtId="165" xfId="0" applyAlignment="1" applyBorder="1" applyFont="1" applyNumberFormat="1">
      <alignment horizontal="center"/>
    </xf>
    <xf borderId="3" fillId="0" fontId="13" numFmtId="0" xfId="0" applyBorder="1" applyFont="1"/>
    <xf borderId="3" fillId="0" fontId="2" numFmtId="0" xfId="0" applyAlignment="1" applyBorder="1" applyFont="1">
      <alignment horizontal="center" readingOrder="0"/>
    </xf>
    <xf borderId="4" fillId="0" fontId="2" numFmtId="165" xfId="0" applyAlignment="1" applyBorder="1" applyFont="1" applyNumberFormat="1">
      <alignment horizontal="center"/>
    </xf>
    <xf borderId="0" fillId="0" fontId="19" numFmtId="0" xfId="0" applyAlignment="1" applyFont="1">
      <alignment horizontal="right" readingOrder="0" vertical="center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5" fillId="0" fontId="14" numFmtId="0" xfId="0" applyAlignment="1" applyBorder="1" applyFont="1">
      <alignment readingOrder="0"/>
    </xf>
    <xf borderId="5" fillId="0" fontId="14" numFmtId="0" xfId="0" applyBorder="1" applyFont="1"/>
    <xf borderId="0" fillId="0" fontId="14" numFmtId="166" xfId="0" applyAlignment="1" applyFont="1" applyNumberFormat="1">
      <alignment horizontal="center" readingOrder="0" vertical="center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horizontal="center" readingOrder="0" shrinkToFit="0" vertical="center" wrapText="1"/>
    </xf>
    <xf borderId="0" fillId="3" fontId="24" numFmtId="0" xfId="0" applyAlignment="1" applyFont="1">
      <alignment readingOrder="0" vertical="bottom"/>
    </xf>
    <xf borderId="0" fillId="0" fontId="25" numFmtId="0" xfId="0" applyAlignment="1" applyFont="1">
      <alignment vertical="bottom"/>
    </xf>
    <xf borderId="0" fillId="0" fontId="12" numFmtId="0" xfId="0" applyAlignment="1" applyFont="1">
      <alignment horizontal="center" vertical="center"/>
    </xf>
    <xf borderId="1" fillId="0" fontId="26" numFmtId="0" xfId="0" applyAlignment="1" applyBorder="1" applyFont="1">
      <alignment readingOrder="0" shrinkToFit="0" vertical="bottom" wrapText="0"/>
    </xf>
    <xf borderId="1" fillId="0" fontId="26" numFmtId="166" xfId="0" applyAlignment="1" applyBorder="1" applyFont="1" applyNumberFormat="1">
      <alignment horizontal="center" readingOrder="0"/>
    </xf>
    <xf borderId="1" fillId="0" fontId="26" numFmtId="0" xfId="0" applyAlignment="1" applyBorder="1" applyFont="1">
      <alignment horizontal="center"/>
    </xf>
    <xf borderId="0" fillId="0" fontId="12" numFmtId="0" xfId="0" applyAlignment="1" applyFont="1">
      <alignment readingOrder="0" shrinkToFit="0" vertical="bottom" wrapText="1"/>
    </xf>
    <xf borderId="0" fillId="0" fontId="26" numFmtId="0" xfId="0" applyAlignment="1" applyFont="1">
      <alignment shrinkToFit="0" vertical="bottom" wrapText="1"/>
    </xf>
    <xf borderId="0" fillId="0" fontId="26" numFmtId="0" xfId="0" applyAlignment="1" applyFont="1">
      <alignment horizontal="center" vertical="center"/>
    </xf>
    <xf borderId="1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horizontal="center"/>
    </xf>
    <xf borderId="6" fillId="0" fontId="25" numFmtId="0" xfId="0" applyAlignment="1" applyBorder="1" applyFont="1">
      <alignment shrinkToFit="0" vertical="bottom" wrapText="0"/>
    </xf>
    <xf borderId="6" fillId="0" fontId="25" numFmtId="0" xfId="0" applyAlignment="1" applyBorder="1" applyFont="1">
      <alignment vertical="bottom"/>
    </xf>
    <xf borderId="1" fillId="0" fontId="25" numFmtId="0" xfId="0" applyAlignment="1" applyBorder="1" applyFont="1">
      <alignment vertical="bottom"/>
    </xf>
    <xf borderId="1" fillId="0" fontId="26" numFmtId="0" xfId="0" applyAlignment="1" applyBorder="1" applyFont="1">
      <alignment horizontal="center"/>
    </xf>
    <xf borderId="0" fillId="0" fontId="25" numFmtId="0" xfId="0" applyAlignment="1" applyFont="1">
      <alignment vertical="bottom"/>
    </xf>
    <xf borderId="0" fillId="3" fontId="12" numFmtId="0" xfId="0" applyAlignment="1" applyFont="1">
      <alignment horizontal="left" readingOrder="0" shrinkToFit="0" wrapText="1"/>
    </xf>
    <xf borderId="0" fillId="0" fontId="27" numFmtId="166" xfId="0" applyAlignment="1" applyFont="1" applyNumberFormat="1">
      <alignment horizontal="center" vertical="center"/>
    </xf>
    <xf borderId="6" fillId="0" fontId="25" numFmtId="0" xfId="0" applyAlignment="1" applyBorder="1" applyFont="1">
      <alignment readingOrder="0" shrinkToFit="0" vertical="bottom" wrapText="0"/>
    </xf>
    <xf borderId="1" fillId="0" fontId="25" numFmtId="0" xfId="0" applyAlignment="1" applyBorder="1" applyFont="1">
      <alignment readingOrder="0" shrinkToFit="0" vertical="bottom" wrapText="0"/>
    </xf>
    <xf borderId="1" fillId="0" fontId="26" numFmtId="0" xfId="0" applyAlignment="1" applyBorder="1" applyFont="1">
      <alignment horizontal="center" readingOrder="0"/>
    </xf>
    <xf borderId="0" fillId="3" fontId="12" numFmtId="0" xfId="0" applyAlignment="1" applyFont="1">
      <alignment readingOrder="0" shrinkToFit="0" wrapText="1"/>
    </xf>
    <xf borderId="0" fillId="0" fontId="12" numFmtId="0" xfId="0" applyAlignment="1" applyFont="1">
      <alignment horizontal="center" shrinkToFit="0" vertical="center" wrapText="1"/>
    </xf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horizontal="center"/>
    </xf>
    <xf borderId="7" fillId="0" fontId="25" numFmtId="0" xfId="0" applyAlignment="1" applyBorder="1" applyFont="1">
      <alignment shrinkToFit="0" vertical="bottom" wrapText="0"/>
    </xf>
    <xf borderId="7" fillId="0" fontId="25" numFmtId="0" xfId="0" applyAlignment="1" applyBorder="1" applyFont="1">
      <alignment vertical="bottom"/>
    </xf>
    <xf borderId="0" fillId="0" fontId="25" numFmtId="165" xfId="0" applyAlignment="1" applyFont="1" applyNumberFormat="1">
      <alignment vertical="bottom"/>
    </xf>
    <xf borderId="0" fillId="0" fontId="25" numFmtId="0" xfId="0" applyAlignment="1" applyFont="1">
      <alignment shrinkToFit="0" vertical="bottom" wrapText="1"/>
    </xf>
    <xf borderId="0" fillId="2" fontId="28" numFmtId="165" xfId="0" applyAlignment="1" applyFont="1" applyNumberFormat="1">
      <alignment horizontal="center" readingOrder="0" vertical="bottom"/>
    </xf>
    <xf borderId="7" fillId="0" fontId="26" numFmtId="0" xfId="0" applyAlignment="1" applyBorder="1" applyFont="1">
      <alignment shrinkToFit="0" vertical="bottom" wrapText="0"/>
    </xf>
    <xf borderId="0" fillId="0" fontId="26" numFmtId="0" xfId="0" applyAlignment="1" applyFont="1">
      <alignment horizontal="center"/>
    </xf>
    <xf borderId="0" fillId="2" fontId="20" numFmtId="0" xfId="0" applyAlignment="1" applyFont="1">
      <alignment horizontal="center" readingOrder="0"/>
    </xf>
    <xf borderId="0" fillId="0" fontId="29" numFmtId="0" xfId="0" applyAlignment="1" applyFont="1">
      <alignment readingOrder="0"/>
    </xf>
    <xf borderId="0" fillId="0" fontId="29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9" numFmtId="0" xfId="0" applyAlignment="1" applyFont="1">
      <alignment readingOrder="0" shrinkToFit="0" wrapText="1"/>
    </xf>
    <xf borderId="0" fillId="0" fontId="30" numFmtId="0" xfId="0" applyAlignment="1" applyFont="1">
      <alignment horizontal="center" readingOrder="0" vertical="bottom"/>
    </xf>
    <xf borderId="0" fillId="0" fontId="31" numFmtId="0" xfId="0" applyAlignment="1" applyFont="1">
      <alignment horizontal="center" vertical="bottom"/>
    </xf>
    <xf borderId="0" fillId="0" fontId="32" numFmtId="0" xfId="0" applyAlignment="1" applyFont="1">
      <alignment horizontal="center" vertical="top"/>
    </xf>
    <xf borderId="0" fillId="2" fontId="25" numFmtId="0" xfId="0" applyAlignment="1" applyFont="1">
      <alignment vertical="bottom"/>
    </xf>
    <xf borderId="0" fillId="2" fontId="33" numFmtId="0" xfId="0" applyAlignment="1" applyFont="1">
      <alignment horizontal="center" vertical="bottom"/>
    </xf>
    <xf borderId="0" fillId="0" fontId="34" numFmtId="0" xfId="0" applyAlignment="1" applyFont="1">
      <alignment horizontal="center" readingOrder="0" textRotation="90" vertical="center"/>
    </xf>
    <xf borderId="0" fillId="2" fontId="25" numFmtId="0" xfId="0" applyAlignment="1" applyFont="1">
      <alignment vertical="bottom"/>
    </xf>
    <xf borderId="0" fillId="2" fontId="35" numFmtId="0" xfId="0" applyAlignment="1" applyFont="1">
      <alignment vertical="bottom"/>
    </xf>
    <xf borderId="0" fillId="2" fontId="35" numFmtId="0" xfId="0" applyAlignment="1" applyFont="1">
      <alignment readingOrder="0" vertical="bottom"/>
    </xf>
    <xf borderId="0" fillId="2" fontId="35" numFmtId="0" xfId="0" applyAlignment="1" applyFont="1">
      <alignment horizontal="right" vertical="bottom"/>
    </xf>
    <xf borderId="0" fillId="2" fontId="35" numFmtId="167" xfId="0" applyAlignment="1" applyFont="1" applyNumberFormat="1">
      <alignment horizontal="left" readingOrder="0" vertical="bottom"/>
    </xf>
    <xf borderId="0" fillId="2" fontId="25" numFmtId="0" xfId="0" applyFont="1"/>
    <xf borderId="0" fillId="2" fontId="35" numFmtId="0" xfId="0" applyAlignment="1" applyFont="1">
      <alignment vertical="top"/>
    </xf>
    <xf borderId="0" fillId="2" fontId="36" numFmtId="0" xfId="0" applyAlignment="1" applyFont="1">
      <alignment readingOrder="0" shrinkToFit="0" vertical="top" wrapText="0"/>
    </xf>
    <xf borderId="7" fillId="2" fontId="25" numFmtId="0" xfId="0" applyAlignment="1" applyBorder="1" applyFont="1">
      <alignment vertical="bottom"/>
    </xf>
    <xf borderId="0" fillId="2" fontId="35" numFmtId="0" xfId="0" applyAlignment="1" applyFont="1">
      <alignment horizontal="right" shrinkToFit="0" vertical="bottom" wrapText="0"/>
    </xf>
    <xf borderId="0" fillId="2" fontId="35" numFmtId="0" xfId="0" applyAlignment="1" applyFont="1">
      <alignment horizontal="left" readingOrder="0" vertical="bottom"/>
    </xf>
    <xf borderId="0" fillId="2" fontId="25" numFmtId="0" xfId="0" applyAlignment="1" applyFont="1">
      <alignment vertical="top"/>
    </xf>
    <xf borderId="0" fillId="2" fontId="25" numFmtId="168" xfId="0" applyAlignment="1" applyFont="1" applyNumberFormat="1">
      <alignment vertical="bottom"/>
    </xf>
    <xf borderId="0" fillId="4" fontId="2" numFmtId="0" xfId="0" applyFill="1" applyFont="1"/>
    <xf borderId="0" fillId="5" fontId="2" numFmtId="0" xfId="0" applyFill="1" applyFont="1"/>
    <xf borderId="0" fillId="0" fontId="25" numFmtId="0" xfId="0" applyAlignment="1" applyFont="1">
      <alignment horizontal="center" readingOrder="0" vertical="bottom"/>
    </xf>
    <xf borderId="0" fillId="0" fontId="35" numFmtId="0" xfId="0" applyAlignment="1" applyFont="1">
      <alignment horizontal="center" readingOrder="0" vertical="center"/>
    </xf>
    <xf borderId="8" fillId="0" fontId="25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9" fillId="0" fontId="25" numFmtId="0" xfId="0" applyAlignment="1" applyBorder="1" applyFont="1">
      <alignment horizontal="center" readingOrder="0" vertical="center"/>
    </xf>
    <xf borderId="10" fillId="0" fontId="13" numFmtId="0" xfId="0" applyBorder="1" applyFont="1"/>
    <xf borderId="11" fillId="0" fontId="13" numFmtId="0" xfId="0" applyBorder="1" applyFont="1"/>
    <xf borderId="0" fillId="0" fontId="25" numFmtId="0" xfId="0" applyAlignment="1" applyFont="1">
      <alignment vertical="center"/>
    </xf>
    <xf borderId="8" fillId="2" fontId="35" numFmtId="0" xfId="0" applyAlignment="1" applyBorder="1" applyFont="1">
      <alignment vertical="center"/>
    </xf>
    <xf borderId="0" fillId="2" fontId="35" numFmtId="0" xfId="0" applyAlignment="1" applyFont="1">
      <alignment horizontal="center" readingOrder="0" vertical="center"/>
    </xf>
    <xf borderId="0" fillId="2" fontId="35" numFmtId="0" xfId="0" applyAlignment="1" applyFont="1">
      <alignment vertical="center"/>
    </xf>
    <xf borderId="0" fillId="2" fontId="4" numFmtId="0" xfId="0" applyAlignment="1" applyFont="1">
      <alignment vertical="center"/>
    </xf>
    <xf borderId="12" fillId="2" fontId="35" numFmtId="0" xfId="0" applyAlignment="1" applyBorder="1" applyFont="1">
      <alignment horizontal="center" readingOrder="0" vertical="center"/>
    </xf>
    <xf borderId="13" fillId="2" fontId="35" numFmtId="0" xfId="0" applyAlignment="1" applyBorder="1" applyFont="1">
      <alignment horizontal="center" readingOrder="0" vertical="center"/>
    </xf>
    <xf borderId="14" fillId="2" fontId="35" numFmtId="0" xfId="0" applyAlignment="1" applyBorder="1" applyFont="1">
      <alignment horizontal="center" readingOrder="0" vertical="center"/>
    </xf>
    <xf borderId="8" fillId="6" fontId="37" numFmtId="0" xfId="0" applyAlignment="1" applyBorder="1" applyFill="1" applyFont="1">
      <alignment horizontal="center" readingOrder="0" textRotation="90" vertical="center"/>
    </xf>
    <xf borderId="15" fillId="6" fontId="12" numFmtId="0" xfId="0" applyAlignment="1" applyBorder="1" applyFont="1">
      <alignment horizontal="left" readingOrder="0" vertical="bottom"/>
    </xf>
    <xf borderId="15" fillId="0" fontId="13" numFmtId="0" xfId="0" applyBorder="1" applyFont="1"/>
    <xf borderId="16" fillId="4" fontId="25" numFmtId="0" xfId="0" applyAlignment="1" applyBorder="1" applyFont="1">
      <alignment vertical="center"/>
    </xf>
    <xf borderId="17" fillId="0" fontId="25" numFmtId="0" xfId="0" applyAlignment="1" applyBorder="1" applyFont="1">
      <alignment vertical="center"/>
    </xf>
    <xf borderId="18" fillId="0" fontId="25" numFmtId="0" xfId="0" applyAlignment="1" applyBorder="1" applyFont="1">
      <alignment vertical="center"/>
    </xf>
    <xf borderId="19" fillId="0" fontId="25" numFmtId="0" xfId="0" applyAlignment="1" applyBorder="1" applyFont="1">
      <alignment vertical="center"/>
    </xf>
    <xf borderId="16" fillId="0" fontId="25" numFmtId="0" xfId="0" applyAlignment="1" applyBorder="1" applyFont="1">
      <alignment vertical="center"/>
    </xf>
    <xf borderId="8" fillId="0" fontId="13" numFmtId="0" xfId="0" applyBorder="1" applyFont="1"/>
    <xf borderId="15" fillId="6" fontId="12" numFmtId="0" xfId="0" applyAlignment="1" applyBorder="1" applyFont="1">
      <alignment horizontal="left" readingOrder="0" shrinkToFit="0" vertical="bottom" wrapText="1"/>
    </xf>
    <xf borderId="20" fillId="0" fontId="13" numFmtId="0" xfId="0" applyBorder="1" applyFont="1"/>
    <xf borderId="21" fillId="0" fontId="25" numFmtId="0" xfId="0" applyAlignment="1" applyBorder="1" applyFont="1">
      <alignment vertical="center"/>
    </xf>
    <xf borderId="22" fillId="0" fontId="25" numFmtId="0" xfId="0" applyAlignment="1" applyBorder="1" applyFont="1">
      <alignment vertical="center"/>
    </xf>
    <xf borderId="23" fillId="0" fontId="25" numFmtId="0" xfId="0" applyAlignment="1" applyBorder="1" applyFont="1">
      <alignment vertical="center"/>
    </xf>
    <xf borderId="24" fillId="2" fontId="2" numFmtId="0" xfId="0" applyBorder="1" applyFont="1"/>
    <xf borderId="15" fillId="6" fontId="12" numFmtId="0" xfId="0" applyAlignment="1" applyBorder="1" applyFont="1">
      <alignment readingOrder="0" shrinkToFit="0" vertical="bottom" wrapText="1"/>
    </xf>
    <xf borderId="25" fillId="2" fontId="2" numFmtId="0" xfId="0" applyBorder="1" applyFont="1"/>
    <xf borderId="26" fillId="0" fontId="25" numFmtId="0" xfId="0" applyAlignment="1" applyBorder="1" applyFont="1">
      <alignment vertical="center"/>
    </xf>
    <xf borderId="22" fillId="4" fontId="25" numFmtId="0" xfId="0" applyAlignment="1" applyBorder="1" applyFont="1">
      <alignment vertical="center"/>
    </xf>
    <xf borderId="27" fillId="0" fontId="25" numFmtId="0" xfId="0" applyAlignment="1" applyBorder="1" applyFont="1">
      <alignment vertical="center"/>
    </xf>
    <xf borderId="19" fillId="2" fontId="25" numFmtId="0" xfId="0" applyAlignment="1" applyBorder="1" applyFont="1">
      <alignment vertical="center"/>
    </xf>
    <xf borderId="23" fillId="2" fontId="25" numFmtId="0" xfId="0" applyAlignment="1" applyBorder="1" applyFont="1">
      <alignment vertical="center"/>
    </xf>
    <xf borderId="22" fillId="2" fontId="25" numFmtId="0" xfId="0" applyAlignment="1" applyBorder="1" applyFont="1">
      <alignment vertical="center"/>
    </xf>
    <xf borderId="28" fillId="6" fontId="12" numFmtId="0" xfId="0" applyAlignment="1" applyBorder="1" applyFont="1">
      <alignment readingOrder="0" shrinkToFit="0" vertical="bottom" wrapText="1"/>
    </xf>
    <xf borderId="28" fillId="0" fontId="13" numFmtId="0" xfId="0" applyBorder="1" applyFont="1"/>
    <xf borderId="29" fillId="0" fontId="25" numFmtId="0" xfId="0" applyAlignment="1" applyBorder="1" applyFont="1">
      <alignment vertical="center"/>
    </xf>
    <xf borderId="30" fillId="0" fontId="25" numFmtId="0" xfId="0" applyAlignment="1" applyBorder="1" applyFont="1">
      <alignment vertical="center"/>
    </xf>
    <xf borderId="31" fillId="0" fontId="25" numFmtId="0" xfId="0" applyAlignment="1" applyBorder="1" applyFont="1">
      <alignment vertical="center"/>
    </xf>
    <xf borderId="32" fillId="0" fontId="25" numFmtId="0" xfId="0" applyAlignment="1" applyBorder="1" applyFont="1">
      <alignment vertical="center"/>
    </xf>
    <xf borderId="33" fillId="0" fontId="25" numFmtId="0" xfId="0" applyAlignment="1" applyBorder="1" applyFont="1">
      <alignment vertical="center"/>
    </xf>
    <xf borderId="34" fillId="0" fontId="25" numFmtId="0" xfId="0" applyAlignment="1" applyBorder="1" applyFont="1">
      <alignment vertical="center"/>
    </xf>
    <xf borderId="8" fillId="4" fontId="37" numFmtId="0" xfId="0" applyAlignment="1" applyBorder="1" applyFont="1">
      <alignment horizontal="center" readingOrder="0" textRotation="90" vertical="center"/>
    </xf>
    <xf borderId="35" fillId="4" fontId="12" numFmtId="0" xfId="0" applyAlignment="1" applyBorder="1" applyFont="1">
      <alignment readingOrder="0" shrinkToFit="0" vertical="bottom" wrapText="1"/>
    </xf>
    <xf borderId="35" fillId="0" fontId="13" numFmtId="0" xfId="0" applyBorder="1" applyFont="1"/>
    <xf borderId="36" fillId="0" fontId="25" numFmtId="0" xfId="0" applyAlignment="1" applyBorder="1" applyFont="1">
      <alignment vertical="center"/>
    </xf>
    <xf borderId="37" fillId="0" fontId="25" numFmtId="0" xfId="0" applyAlignment="1" applyBorder="1" applyFont="1">
      <alignment vertical="center"/>
    </xf>
    <xf borderId="38" fillId="2" fontId="25" numFmtId="0" xfId="0" applyAlignment="1" applyBorder="1" applyFont="1">
      <alignment vertical="center"/>
    </xf>
    <xf borderId="39" fillId="2" fontId="25" numFmtId="0" xfId="0" applyAlignment="1" applyBorder="1" applyFont="1">
      <alignment vertical="center"/>
    </xf>
    <xf borderId="40" fillId="2" fontId="25" numFmtId="0" xfId="0" applyAlignment="1" applyBorder="1" applyFont="1">
      <alignment vertical="center"/>
    </xf>
    <xf borderId="37" fillId="2" fontId="25" numFmtId="0" xfId="0" applyAlignment="1" applyBorder="1" applyFont="1">
      <alignment vertical="center"/>
    </xf>
    <xf borderId="41" fillId="0" fontId="25" numFmtId="0" xfId="0" applyAlignment="1" applyBorder="1" applyFont="1">
      <alignment vertical="center"/>
    </xf>
    <xf borderId="15" fillId="4" fontId="12" numFmtId="0" xfId="0" applyAlignment="1" applyBorder="1" applyFont="1">
      <alignment readingOrder="0" shrinkToFit="0" vertical="bottom" wrapText="1"/>
    </xf>
    <xf borderId="21" fillId="2" fontId="25" numFmtId="0" xfId="0" applyAlignment="1" applyBorder="1" applyFont="1">
      <alignment vertical="center"/>
    </xf>
    <xf borderId="28" fillId="4" fontId="12" numFmtId="0" xfId="0" applyAlignment="1" applyBorder="1" applyFont="1">
      <alignment readingOrder="0" shrinkToFit="0" vertical="bottom" wrapText="1"/>
    </xf>
    <xf borderId="0" fillId="7" fontId="19" numFmtId="0" xfId="0" applyAlignment="1" applyFill="1" applyFont="1">
      <alignment horizontal="center" readingOrder="0" shrinkToFit="0" textRotation="90" vertical="center" wrapText="1"/>
    </xf>
    <xf borderId="42" fillId="7" fontId="12" numFmtId="0" xfId="0" applyAlignment="1" applyBorder="1" applyFont="1">
      <alignment readingOrder="0" shrinkToFit="0" vertical="bottom" wrapText="1"/>
    </xf>
    <xf borderId="43" fillId="7" fontId="12" numFmtId="0" xfId="0" applyAlignment="1" applyBorder="1" applyFont="1">
      <alignment horizontal="left" readingOrder="0" vertical="bottom"/>
    </xf>
    <xf borderId="0" fillId="5" fontId="38" numFmtId="0" xfId="0" applyAlignment="1" applyFont="1">
      <alignment horizontal="center" readingOrder="0" shrinkToFit="0" textRotation="90" vertical="center" wrapText="1"/>
    </xf>
    <xf borderId="42" fillId="5" fontId="12" numFmtId="0" xfId="0" applyAlignment="1" applyBorder="1" applyFont="1">
      <alignment readingOrder="0" shrinkToFit="0" vertical="bottom" wrapText="1"/>
    </xf>
    <xf borderId="43" fillId="5" fontId="12" numFmtId="0" xfId="0" applyAlignment="1" applyBorder="1" applyFont="1">
      <alignment shrinkToFit="0" vertical="bottom" wrapText="1"/>
    </xf>
    <xf borderId="0" fillId="0" fontId="19" numFmtId="0" xfId="0" applyAlignment="1" applyFont="1">
      <alignment horizontal="center" readingOrder="0" vertical="bottom"/>
    </xf>
    <xf borderId="0" fillId="0" fontId="25" numFmtId="0" xfId="0" applyAlignment="1" applyFont="1">
      <alignment readingOrder="0" vertical="bottom"/>
    </xf>
    <xf borderId="0" fillId="0" fontId="25" numFmtId="0" xfId="0" applyFont="1"/>
    <xf borderId="0" fillId="0" fontId="2" numFmtId="0" xfId="0" applyAlignment="1" applyFont="1">
      <alignment horizontal="right" readingOrder="0"/>
    </xf>
    <xf borderId="0" fillId="0" fontId="39" numFmtId="0" xfId="0" applyAlignment="1" applyFont="1">
      <alignment readingOrder="0"/>
    </xf>
    <xf borderId="1" fillId="0" fontId="14" numFmtId="0" xfId="0" applyAlignment="1" applyBorder="1" applyFont="1">
      <alignment horizontal="center"/>
    </xf>
    <xf borderId="0" fillId="0" fontId="12" numFmtId="0" xfId="0" applyAlignment="1" applyFont="1">
      <alignment readingOrder="0" vertical="center"/>
    </xf>
    <xf borderId="0" fillId="0" fontId="40" numFmtId="0" xfId="0" applyAlignment="1" applyFont="1">
      <alignment horizontal="right" readingOrder="0" shrinkToFit="0" wrapText="1"/>
    </xf>
    <xf borderId="1" fillId="0" fontId="12" numFmtId="0" xfId="0" applyAlignment="1" applyBorder="1" applyFont="1">
      <alignment readingOrder="0" vertical="center"/>
    </xf>
    <xf borderId="1" fillId="0" fontId="41" numFmtId="0" xfId="0" applyAlignment="1" applyBorder="1" applyFont="1">
      <alignment readingOrder="0" vertical="center"/>
    </xf>
    <xf borderId="1" fillId="0" fontId="40" numFmtId="0" xfId="0" applyAlignment="1" applyBorder="1" applyFont="1">
      <alignment horizontal="right" readingOrder="0" shrinkToFit="0" wrapText="1"/>
    </xf>
    <xf borderId="0" fillId="0" fontId="2" numFmtId="0" xfId="0" applyAlignment="1" applyFont="1">
      <alignment horizontal="right" readingOrder="0" vertical="top"/>
    </xf>
    <xf borderId="0" fillId="0" fontId="42" numFmtId="0" xfId="0" applyAlignment="1" applyFont="1">
      <alignment horizontal="right" readingOrder="0" vertical="top"/>
    </xf>
    <xf borderId="0" fillId="0" fontId="2" numFmtId="0" xfId="0" applyAlignment="1" applyFont="1">
      <alignment horizontal="left" readingOrder="0" vertical="top"/>
    </xf>
    <xf borderId="0" fillId="0" fontId="12" numFmtId="0" xfId="0" applyAlignment="1" applyFont="1">
      <alignment readingOrder="0"/>
    </xf>
    <xf borderId="0" fillId="0" fontId="14" numFmtId="0" xfId="0" applyAlignment="1" applyFont="1">
      <alignment horizontal="center"/>
    </xf>
    <xf borderId="0" fillId="0" fontId="2" numFmtId="0" xfId="0" applyAlignment="1" applyFont="1">
      <alignment horizontal="center" readingOrder="0" vertical="top"/>
    </xf>
    <xf borderId="0" fillId="0" fontId="39" numFmtId="0" xfId="0" applyAlignment="1" applyFont="1">
      <alignment horizontal="left" readingOrder="0" vertical="top"/>
    </xf>
    <xf borderId="0" fillId="0" fontId="9" numFmtId="0" xfId="0" applyAlignment="1" applyFont="1">
      <alignment horizontal="center" readingOrder="0" vertical="center"/>
    </xf>
    <xf borderId="0" fillId="3" fontId="11" numFmtId="0" xfId="0" applyAlignment="1" applyFont="1">
      <alignment horizontal="left" readingOrder="0" vertical="center"/>
    </xf>
    <xf borderId="1" fillId="0" fontId="26" numFmtId="0" xfId="0" applyAlignment="1" applyBorder="1" applyFont="1">
      <alignment shrinkToFit="0" vertical="bottom" wrapText="1"/>
    </xf>
    <xf borderId="1" fillId="0" fontId="25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readingOrder="0" shrinkToFit="0" vertical="bottom" wrapText="1"/>
    </xf>
    <xf borderId="5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shrinkToFit="0" vertical="bottom" wrapText="1"/>
    </xf>
    <xf borderId="5" fillId="0" fontId="26" numFmtId="0" xfId="0" applyAlignment="1" applyBorder="1" applyFont="1">
      <alignment horizontal="center" shrinkToFit="0" vertical="center" wrapText="1"/>
    </xf>
    <xf borderId="1" fillId="0" fontId="41" numFmtId="0" xfId="0" applyAlignment="1" applyBorder="1" applyFont="1">
      <alignment readingOrder="0" shrinkToFit="0" vertical="bottom" wrapText="1"/>
    </xf>
    <xf borderId="1" fillId="0" fontId="25" numFmtId="0" xfId="0" applyAlignment="1" applyBorder="1" applyFont="1">
      <alignment readingOrder="0" vertical="bottom"/>
    </xf>
    <xf borderId="1" fillId="0" fontId="25" numFmtId="0" xfId="0" applyAlignment="1" applyBorder="1" applyFont="1">
      <alignment readingOrder="0" shrinkToFit="0" vertical="bottom" wrapText="1"/>
    </xf>
    <xf borderId="0" fillId="0" fontId="12" numFmtId="0" xfId="0" applyAlignment="1" applyFont="1">
      <alignment horizontal="left" readingOrder="0" shrinkToFit="0" wrapText="1"/>
    </xf>
    <xf borderId="0" fillId="0" fontId="25" numFmtId="0" xfId="0" applyAlignment="1" applyFont="1">
      <alignment horizontal="right" readingOrder="0" vertical="bottom"/>
    </xf>
    <xf borderId="0" fillId="0" fontId="43" numFmtId="0" xfId="0" applyAlignment="1" applyFont="1">
      <alignment readingOrder="0" vertical="center"/>
    </xf>
    <xf borderId="1" fillId="0" fontId="25" numFmtId="0" xfId="0" applyAlignment="1" applyBorder="1" applyFont="1">
      <alignment horizontal="center" readingOrder="0" vertical="center"/>
    </xf>
    <xf borderId="5" fillId="0" fontId="25" numFmtId="0" xfId="0" applyAlignment="1" applyBorder="1" applyFont="1">
      <alignment horizontal="center" readingOrder="0" vertical="center"/>
    </xf>
    <xf borderId="1" fillId="3" fontId="26" numFmtId="0" xfId="0" applyAlignment="1" applyBorder="1" applyFont="1">
      <alignment horizontal="left" readingOrder="0"/>
    </xf>
    <xf borderId="0" fillId="0" fontId="26" numFmtId="0" xfId="0" applyAlignment="1" applyFont="1">
      <alignment shrinkToFit="0" vertical="bottom" wrapText="1"/>
    </xf>
    <xf borderId="0" fillId="0" fontId="25" numFmtId="0" xfId="0" applyAlignment="1" applyFont="1">
      <alignment horizontal="center" vertical="center"/>
    </xf>
    <xf borderId="1" fillId="0" fontId="12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readingOrder="0" vertical="center"/>
    </xf>
    <xf borderId="5" fillId="0" fontId="13" numFmtId="0" xfId="0" applyBorder="1" applyFont="1"/>
    <xf borderId="0" fillId="0" fontId="2" numFmtId="0" xfId="0" applyAlignment="1" applyFont="1">
      <alignment shrinkToFit="0" wrapText="1"/>
    </xf>
    <xf borderId="1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right" readingOrder="0" shrinkToFit="0" vertical="center" wrapText="1"/>
    </xf>
    <xf borderId="0" fillId="0" fontId="44" numFmtId="0" xfId="0" applyAlignment="1" applyFont="1">
      <alignment readingOrder="0"/>
    </xf>
    <xf borderId="0" fillId="0" fontId="15" numFmtId="165" xfId="0" applyAlignment="1" applyFont="1" applyNumberFormat="1">
      <alignment horizontal="center" readingOrder="0"/>
    </xf>
    <xf borderId="1" fillId="0" fontId="12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0" fillId="0" fontId="43" numFmtId="0" xfId="0" applyAlignment="1" applyFont="1">
      <alignment readingOrder="0" vertical="bottom"/>
    </xf>
    <xf borderId="0" fillId="0" fontId="12" numFmtId="0" xfId="0" applyAlignment="1" applyFont="1">
      <alignment horizontal="center" readingOrder="0" shrinkToFit="0" wrapText="1"/>
    </xf>
    <xf borderId="1" fillId="0" fontId="14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right" readingOrder="0" shrinkToFit="0" vertical="center" wrapText="1"/>
    </xf>
    <xf borderId="0" fillId="0" fontId="44" numFmtId="0" xfId="0" applyAlignment="1" applyFont="1">
      <alignment readingOrder="0" vertical="center"/>
    </xf>
    <xf borderId="0" fillId="0" fontId="45" numFmtId="0" xfId="0" applyAlignment="1" applyFont="1">
      <alignment readingOrder="0" shrinkToFit="0" wrapText="1"/>
    </xf>
    <xf borderId="0" fillId="0" fontId="45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23" numFmtId="0" xfId="0" applyAlignment="1" applyFont="1">
      <alignment readingOrder="0" vertical="center"/>
    </xf>
    <xf borderId="0" fillId="0" fontId="12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23" numFmtId="0" xfId="0" applyAlignment="1" applyFont="1">
      <alignment readingOrder="0"/>
    </xf>
    <xf borderId="0" fillId="0" fontId="23" numFmtId="0" xfId="0" applyAlignment="1" applyFont="1">
      <alignment horizontal="center" readingOrder="0"/>
    </xf>
    <xf borderId="0" fillId="0" fontId="46" numFmtId="0" xfId="0" applyAlignment="1" applyFont="1">
      <alignment horizontal="center" readingOrder="0"/>
    </xf>
    <xf borderId="0" fillId="0" fontId="23" numFmtId="0" xfId="0" applyAlignment="1" applyFont="1">
      <alignment horizontal="center" readingOrder="0" vertical="center"/>
    </xf>
    <xf borderId="0" fillId="0" fontId="46" numFmtId="0" xfId="0" applyAlignment="1" applyFont="1">
      <alignment horizontal="center" readingOrder="0" vertical="center"/>
    </xf>
    <xf borderId="1" fillId="0" fontId="12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horizontal="center"/>
    </xf>
    <xf borderId="1" fillId="0" fontId="14" numFmtId="0" xfId="0" applyAlignment="1" applyBorder="1" applyFont="1">
      <alignment horizontal="left" readingOrder="0"/>
    </xf>
    <xf borderId="0" fillId="0" fontId="12" numFmtId="0" xfId="0" applyAlignment="1" applyFont="1">
      <alignment horizontal="left" readingOrder="0" vertical="center"/>
    </xf>
    <xf borderId="0" fillId="0" fontId="2" numFmtId="0" xfId="0" applyAlignment="1" applyFont="1">
      <alignment horizontal="left"/>
    </xf>
    <xf borderId="1" fillId="0" fontId="45" numFmtId="0" xfId="0" applyAlignment="1" applyBorder="1" applyFont="1">
      <alignment readingOrder="0" shrinkToFit="0" vertical="center" wrapText="1"/>
    </xf>
    <xf borderId="0" fillId="0" fontId="45" numFmtId="0" xfId="0" applyAlignment="1" applyFont="1">
      <alignment horizontal="center" readingOrder="0" vertical="center"/>
    </xf>
    <xf borderId="0" fillId="0" fontId="45" numFmtId="0" xfId="0" applyAlignment="1" applyFont="1">
      <alignment horizontal="left" readingOrder="0" vertic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57150</xdr:rowOff>
    </xdr:from>
    <xdr:ext cx="581025" cy="742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85725</xdr:rowOff>
    </xdr:from>
    <xdr:ext cx="571500" cy="733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76200</xdr:rowOff>
    </xdr:from>
    <xdr:ext cx="581025" cy="7429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36</xdr:row>
      <xdr:rowOff>19050</xdr:rowOff>
    </xdr:from>
    <xdr:ext cx="523875" cy="6858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0</xdr:row>
      <xdr:rowOff>95250</xdr:rowOff>
    </xdr:from>
    <xdr:ext cx="581025" cy="7429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828675" cy="1057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nsultoría E3" id="{434f2e0d-7946-4136-aef0-5ead1ee1b6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03-08T20:02:26.00" personId="{434f2e0d-7946-4136-aef0-5ead1ee1b66c}" id="{c20f5ea7-c12f-4cbb-b8a3-5c8ef80942ce}" done="0">
    <x18tc:text xml:space="preserve">Aquí esta el cambio de página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3" width="5.75"/>
    <col customWidth="1" min="14" max="14" width="7.13"/>
    <col customWidth="1" min="15" max="17" width="5.63"/>
  </cols>
  <sheetData>
    <row r="1">
      <c r="A1" s="1"/>
      <c r="B1" s="2"/>
      <c r="C1" s="3"/>
      <c r="D1" s="3" t="s">
        <v>0</v>
      </c>
      <c r="K1" s="3"/>
      <c r="L1" s="3"/>
      <c r="M1" s="3"/>
      <c r="N1" s="2"/>
      <c r="O1" s="2"/>
      <c r="P1" s="2"/>
      <c r="Q1" s="4"/>
    </row>
    <row r="2" ht="18.0" customHeight="1">
      <c r="A2" s="1"/>
      <c r="B2" s="3"/>
      <c r="C2" s="3"/>
      <c r="K2" s="3"/>
      <c r="L2" s="2"/>
      <c r="M2" s="2"/>
      <c r="N2" s="5" t="s">
        <v>1</v>
      </c>
      <c r="O2" s="6" t="s">
        <v>2</v>
      </c>
      <c r="Q2" s="2"/>
    </row>
    <row r="3" ht="18.0" customHeight="1">
      <c r="A3" s="7"/>
      <c r="B3" s="2"/>
      <c r="C3" s="8"/>
      <c r="D3" s="9" t="s">
        <v>3</v>
      </c>
      <c r="K3" s="8"/>
      <c r="L3" s="2"/>
      <c r="M3" s="2"/>
      <c r="N3" s="10" t="s">
        <v>4</v>
      </c>
      <c r="O3" s="11">
        <v>44264.0</v>
      </c>
      <c r="Q3" s="2"/>
    </row>
    <row r="4" ht="22.5" customHeight="1">
      <c r="A4" s="7"/>
      <c r="B4" s="8"/>
      <c r="C4" s="8"/>
      <c r="K4" s="8"/>
      <c r="L4" s="2"/>
      <c r="M4" s="2"/>
      <c r="N4" s="12" t="s">
        <v>5</v>
      </c>
      <c r="O4" s="13">
        <v>44295.0</v>
      </c>
      <c r="Q4" s="2"/>
    </row>
    <row r="5" ht="22.5" customHeight="1">
      <c r="A5" s="14"/>
      <c r="B5" s="15"/>
      <c r="C5" s="15"/>
      <c r="D5" s="16"/>
      <c r="E5" s="16"/>
      <c r="F5" s="16"/>
      <c r="G5" s="16"/>
      <c r="H5" s="16"/>
      <c r="I5" s="16"/>
      <c r="J5" s="16"/>
      <c r="K5" s="15"/>
      <c r="L5" s="15"/>
      <c r="M5" s="14"/>
      <c r="N5" s="15"/>
      <c r="O5" s="14"/>
      <c r="P5" s="17"/>
      <c r="Q5" s="17"/>
    </row>
    <row r="6">
      <c r="H6" s="18"/>
      <c r="I6" s="18"/>
      <c r="J6" s="18"/>
      <c r="K6" s="18"/>
      <c r="L6" s="18"/>
      <c r="M6" s="18"/>
      <c r="N6" s="18"/>
      <c r="O6" s="18"/>
      <c r="P6" s="18"/>
      <c r="Q6" s="18"/>
    </row>
    <row r="7">
      <c r="A7" s="19" t="s">
        <v>6</v>
      </c>
      <c r="H7" s="20"/>
      <c r="I7" s="20"/>
    </row>
    <row r="8">
      <c r="C8" s="20" t="s">
        <v>7</v>
      </c>
      <c r="I8" s="20"/>
    </row>
    <row r="10">
      <c r="D10" s="21" t="s">
        <v>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24" t="s">
        <v>9</v>
      </c>
    </row>
    <row r="11">
      <c r="D11" s="25" t="s">
        <v>10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6">
        <v>3.0</v>
      </c>
    </row>
    <row r="12">
      <c r="D12" s="25" t="s">
        <v>11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 t="s">
        <v>9</v>
      </c>
    </row>
    <row r="13">
      <c r="D13" s="25" t="s">
        <v>12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6">
        <v>3.0</v>
      </c>
    </row>
    <row r="14">
      <c r="D14" s="25" t="s">
        <v>13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6">
        <v>4.0</v>
      </c>
    </row>
    <row r="15">
      <c r="D15" s="25" t="s">
        <v>14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6">
        <v>2.0</v>
      </c>
    </row>
    <row r="16">
      <c r="D16" s="25" t="s">
        <v>15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 t="s">
        <v>9</v>
      </c>
    </row>
    <row r="17">
      <c r="D17" s="25" t="s">
        <v>16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6" t="s">
        <v>17</v>
      </c>
    </row>
    <row r="18">
      <c r="D18" s="25" t="s">
        <v>18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6">
        <v>3.0</v>
      </c>
    </row>
    <row r="22">
      <c r="O22" s="28">
        <v>13900.0</v>
      </c>
    </row>
    <row r="23">
      <c r="N23" s="29"/>
    </row>
    <row r="24">
      <c r="C24" s="20" t="s">
        <v>19</v>
      </c>
      <c r="G24" s="20"/>
      <c r="H24" s="20"/>
    </row>
    <row r="25">
      <c r="G25" s="20"/>
      <c r="H25" s="20"/>
    </row>
    <row r="26">
      <c r="C26" s="20"/>
      <c r="D26" s="30" t="s">
        <v>20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 t="s">
        <v>9</v>
      </c>
    </row>
    <row r="27">
      <c r="D27" s="30" t="s">
        <v>21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6">
        <v>30.0</v>
      </c>
      <c r="Q27" s="31"/>
    </row>
    <row r="28">
      <c r="D28" s="30" t="s">
        <v>22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 t="s">
        <v>9</v>
      </c>
      <c r="Q28" s="31"/>
    </row>
    <row r="29">
      <c r="Q29" s="31"/>
    </row>
    <row r="30"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>
      <c r="N32" s="33"/>
      <c r="O32" s="33"/>
      <c r="P32" s="33"/>
    </row>
    <row r="34">
      <c r="O34" s="28">
        <v>5990.0</v>
      </c>
    </row>
    <row r="37">
      <c r="L37" s="34" t="s">
        <v>23</v>
      </c>
      <c r="O37" s="35">
        <f>O22+O34</f>
        <v>19890</v>
      </c>
    </row>
    <row r="41">
      <c r="C41" s="36" t="s">
        <v>24</v>
      </c>
    </row>
    <row r="42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37"/>
    </row>
    <row r="43" ht="22.5" customHeight="1">
      <c r="D43" s="38" t="s">
        <v>25</v>
      </c>
      <c r="H43" s="38" t="s">
        <v>26</v>
      </c>
      <c r="L43" s="38" t="s">
        <v>27</v>
      </c>
      <c r="P43" s="38"/>
      <c r="Q43" s="39"/>
    </row>
    <row r="44">
      <c r="D44" s="40" t="s">
        <v>28</v>
      </c>
      <c r="H44" s="40" t="s">
        <v>29</v>
      </c>
      <c r="L44" s="40" t="s">
        <v>30</v>
      </c>
      <c r="Q44" s="39"/>
    </row>
    <row r="45">
      <c r="A45" s="19"/>
      <c r="D45" s="41">
        <v>0.5</v>
      </c>
      <c r="E45" s="42">
        <f>O37/2</f>
        <v>9945</v>
      </c>
      <c r="H45" s="41">
        <v>0.1</v>
      </c>
      <c r="I45" s="42">
        <f>O37*H45</f>
        <v>1989</v>
      </c>
      <c r="L45" s="43" t="s">
        <v>31</v>
      </c>
    </row>
    <row r="46">
      <c r="A46" s="19"/>
      <c r="D46" s="41">
        <v>0.5</v>
      </c>
      <c r="E46" s="42">
        <f>O37/2</f>
        <v>9945</v>
      </c>
      <c r="H46" s="44"/>
      <c r="I46" s="45">
        <f>O37-I45</f>
        <v>17901</v>
      </c>
      <c r="J46" s="46"/>
      <c r="L46" s="47">
        <v>6.0</v>
      </c>
      <c r="M46" s="48">
        <f>(O37*115%)/6</f>
        <v>3812.25</v>
      </c>
      <c r="N46" s="46"/>
      <c r="Q46" s="39"/>
    </row>
  </sheetData>
  <mergeCells count="26">
    <mergeCell ref="O4:P4"/>
    <mergeCell ref="O22:Q22"/>
    <mergeCell ref="O34:Q34"/>
    <mergeCell ref="O37:Q38"/>
    <mergeCell ref="C24:F25"/>
    <mergeCell ref="L37:N38"/>
    <mergeCell ref="C41:O42"/>
    <mergeCell ref="D43:F43"/>
    <mergeCell ref="H43:J43"/>
    <mergeCell ref="L43:N43"/>
    <mergeCell ref="D44:F44"/>
    <mergeCell ref="H44:J44"/>
    <mergeCell ref="E45:F45"/>
    <mergeCell ref="I45:J45"/>
    <mergeCell ref="L45:N45"/>
    <mergeCell ref="E46:F46"/>
    <mergeCell ref="I46:J46"/>
    <mergeCell ref="M46:N46"/>
    <mergeCell ref="D1:J2"/>
    <mergeCell ref="O2:P2"/>
    <mergeCell ref="D3:J4"/>
    <mergeCell ref="O3:P3"/>
    <mergeCell ref="A7:A44"/>
    <mergeCell ref="C8:G9"/>
    <mergeCell ref="D10:N10"/>
    <mergeCell ref="L44:N44"/>
  </mergeCells>
  <printOptions gridLines="1" horizontalCentered="1"/>
  <pageMargins bottom="0.27045454545454545" footer="0.0" header="0.0" left="0.39370078740157477" right="0.39370078740157477" top="0.3090909090909091"/>
  <pageSetup fitToHeight="0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3" width="5.75"/>
    <col customWidth="1" min="14" max="14" width="7.13"/>
    <col customWidth="1" min="15" max="17" width="5.63"/>
  </cols>
  <sheetData>
    <row r="1">
      <c r="A1" s="1"/>
      <c r="B1" s="2"/>
      <c r="C1" s="3"/>
      <c r="D1" s="3" t="s">
        <v>0</v>
      </c>
      <c r="K1" s="3"/>
      <c r="L1" s="3"/>
      <c r="M1" s="3"/>
      <c r="N1" s="2"/>
      <c r="O1" s="2"/>
      <c r="P1" s="2"/>
      <c r="Q1" s="4"/>
    </row>
    <row r="2" ht="18.0" customHeight="1">
      <c r="A2" s="1"/>
      <c r="B2" s="3"/>
      <c r="C2" s="3"/>
      <c r="K2" s="3"/>
      <c r="L2" s="2"/>
      <c r="M2" s="2"/>
      <c r="N2" s="5" t="s">
        <v>1</v>
      </c>
      <c r="O2" s="6" t="s">
        <v>2</v>
      </c>
      <c r="Q2" s="2"/>
    </row>
    <row r="3" ht="18.0" customHeight="1">
      <c r="A3" s="7"/>
      <c r="B3" s="2"/>
      <c r="C3" s="8"/>
      <c r="D3" s="9" t="s">
        <v>3</v>
      </c>
      <c r="K3" s="8"/>
      <c r="L3" s="2"/>
      <c r="M3" s="2"/>
      <c r="N3" s="10" t="s">
        <v>4</v>
      </c>
      <c r="O3" s="11">
        <v>44264.0</v>
      </c>
      <c r="Q3" s="2"/>
    </row>
    <row r="4" ht="18.0" customHeight="1">
      <c r="A4" s="7"/>
      <c r="B4" s="8"/>
      <c r="C4" s="8"/>
      <c r="K4" s="8"/>
      <c r="L4" s="2"/>
      <c r="M4" s="2"/>
      <c r="N4" s="12" t="s">
        <v>5</v>
      </c>
      <c r="O4" s="13">
        <v>44295.0</v>
      </c>
      <c r="Q4" s="2"/>
    </row>
    <row r="5" ht="22.5" customHeight="1">
      <c r="A5" s="14"/>
      <c r="B5" s="15"/>
      <c r="C5" s="15"/>
      <c r="D5" s="16"/>
      <c r="E5" s="16"/>
      <c r="F5" s="16"/>
      <c r="G5" s="16"/>
      <c r="H5" s="16"/>
      <c r="I5" s="16"/>
      <c r="J5" s="16"/>
      <c r="K5" s="15"/>
      <c r="L5" s="15"/>
      <c r="M5" s="14"/>
      <c r="N5" s="15"/>
      <c r="O5" s="14"/>
      <c r="P5" s="17"/>
      <c r="Q5" s="17"/>
    </row>
    <row r="6">
      <c r="H6" s="18"/>
      <c r="I6" s="18"/>
      <c r="J6" s="18"/>
      <c r="K6" s="18"/>
      <c r="L6" s="18"/>
      <c r="M6" s="18"/>
      <c r="N6" s="18"/>
      <c r="O6" s="18"/>
      <c r="P6" s="18"/>
      <c r="Q6" s="18"/>
    </row>
    <row r="7">
      <c r="A7" s="19" t="s">
        <v>6</v>
      </c>
      <c r="H7" s="20"/>
      <c r="I7" s="20"/>
    </row>
    <row r="8">
      <c r="C8" s="20" t="s">
        <v>7</v>
      </c>
      <c r="I8" s="20"/>
    </row>
    <row r="10">
      <c r="D10" s="21" t="s">
        <v>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24" t="s">
        <v>9</v>
      </c>
    </row>
    <row r="11">
      <c r="D11" s="25" t="s">
        <v>10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6">
        <v>3.0</v>
      </c>
    </row>
    <row r="12">
      <c r="D12" s="25" t="s">
        <v>11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 t="s">
        <v>9</v>
      </c>
    </row>
    <row r="13">
      <c r="D13" s="25" t="s">
        <v>12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6">
        <v>3.0</v>
      </c>
    </row>
    <row r="14">
      <c r="D14" s="25" t="s">
        <v>13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6">
        <v>4.0</v>
      </c>
    </row>
    <row r="15">
      <c r="D15" s="25" t="s">
        <v>14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6">
        <v>2.0</v>
      </c>
    </row>
    <row r="16">
      <c r="D16" s="25" t="s">
        <v>15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 t="s">
        <v>9</v>
      </c>
    </row>
    <row r="17">
      <c r="D17" s="25" t="s">
        <v>16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6" t="s">
        <v>17</v>
      </c>
    </row>
    <row r="18">
      <c r="D18" s="25" t="s">
        <v>18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6">
        <v>3.0</v>
      </c>
    </row>
    <row r="22">
      <c r="O22" s="28">
        <v>13900.0</v>
      </c>
    </row>
    <row r="23">
      <c r="N23" s="29"/>
    </row>
    <row r="24">
      <c r="C24" s="20" t="s">
        <v>19</v>
      </c>
      <c r="G24" s="20"/>
      <c r="H24" s="20"/>
    </row>
    <row r="25">
      <c r="G25" s="20"/>
      <c r="H25" s="20"/>
    </row>
    <row r="26">
      <c r="C26" s="20"/>
      <c r="D26" s="30" t="s">
        <v>20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 t="s">
        <v>9</v>
      </c>
    </row>
    <row r="27">
      <c r="D27" s="30" t="s">
        <v>21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6">
        <v>30.0</v>
      </c>
      <c r="Q27" s="31"/>
    </row>
    <row r="28">
      <c r="D28" s="30" t="s">
        <v>22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 t="s">
        <v>9</v>
      </c>
      <c r="Q28" s="31"/>
    </row>
    <row r="29">
      <c r="Q29" s="31"/>
    </row>
    <row r="30"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>
      <c r="N32" s="33"/>
      <c r="O32" s="33"/>
      <c r="P32" s="33"/>
    </row>
    <row r="34">
      <c r="O34" s="28">
        <v>5990.0</v>
      </c>
    </row>
    <row r="37">
      <c r="M37" s="49" t="s">
        <v>32</v>
      </c>
      <c r="O37" s="35">
        <f>O22+O34</f>
        <v>19890</v>
      </c>
    </row>
    <row r="41">
      <c r="C41" s="36" t="s">
        <v>24</v>
      </c>
    </row>
    <row r="42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37"/>
    </row>
    <row r="43" ht="22.5" customHeight="1">
      <c r="D43" s="38"/>
      <c r="H43" s="38" t="s">
        <v>33</v>
      </c>
      <c r="L43" s="38"/>
      <c r="P43" s="38"/>
      <c r="Q43" s="39"/>
    </row>
    <row r="44">
      <c r="D44" s="40"/>
      <c r="H44" s="40" t="s">
        <v>34</v>
      </c>
      <c r="L44" s="40"/>
      <c r="Q44" s="39"/>
    </row>
    <row r="45">
      <c r="A45" s="19"/>
      <c r="D45" s="41"/>
      <c r="E45" s="29"/>
      <c r="H45" s="41">
        <v>0.1</v>
      </c>
      <c r="I45" s="42">
        <f>O37*H45</f>
        <v>1989</v>
      </c>
      <c r="L45" s="43"/>
    </row>
    <row r="46">
      <c r="A46" s="19"/>
      <c r="D46" s="41"/>
      <c r="E46" s="29"/>
      <c r="H46" s="44"/>
      <c r="I46" s="45">
        <f>O37-I45</f>
        <v>17901</v>
      </c>
      <c r="J46" s="46"/>
      <c r="L46" s="43"/>
      <c r="M46" s="29"/>
      <c r="Q46" s="39"/>
    </row>
  </sheetData>
  <mergeCells count="26">
    <mergeCell ref="O4:P4"/>
    <mergeCell ref="O22:Q22"/>
    <mergeCell ref="O34:Q34"/>
    <mergeCell ref="O37:Q38"/>
    <mergeCell ref="O3:P3"/>
    <mergeCell ref="M37:N38"/>
    <mergeCell ref="C41:O42"/>
    <mergeCell ref="D43:F43"/>
    <mergeCell ref="H43:J43"/>
    <mergeCell ref="L43:N43"/>
    <mergeCell ref="D44:F44"/>
    <mergeCell ref="H44:J44"/>
    <mergeCell ref="E45:F45"/>
    <mergeCell ref="I45:J45"/>
    <mergeCell ref="L45:N45"/>
    <mergeCell ref="E46:F46"/>
    <mergeCell ref="I46:J46"/>
    <mergeCell ref="M46:N46"/>
    <mergeCell ref="D1:J2"/>
    <mergeCell ref="O2:P2"/>
    <mergeCell ref="D3:J4"/>
    <mergeCell ref="A7:A44"/>
    <mergeCell ref="C8:G9"/>
    <mergeCell ref="D10:N10"/>
    <mergeCell ref="C24:F25"/>
    <mergeCell ref="L44:N44"/>
  </mergeCells>
  <printOptions gridLines="1" horizontalCentered="1"/>
  <pageMargins bottom="0.27045454545454545" footer="0.0" header="0.0" left="0.39370078740157477" right="0.39370078740157477" top="0.3090909090909091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3" width="5.75"/>
    <col customWidth="1" min="14" max="14" width="7.13"/>
    <col customWidth="1" min="15" max="17" width="5.63"/>
  </cols>
  <sheetData>
    <row r="1">
      <c r="A1" s="1"/>
      <c r="B1" s="2"/>
      <c r="C1" s="3"/>
      <c r="D1" s="3" t="s">
        <v>0</v>
      </c>
      <c r="K1" s="3"/>
      <c r="L1" s="3"/>
      <c r="M1" s="3"/>
      <c r="N1" s="2"/>
      <c r="O1" s="2"/>
      <c r="P1" s="2"/>
      <c r="Q1" s="4"/>
    </row>
    <row r="2" ht="18.0" customHeight="1">
      <c r="A2" s="1"/>
      <c r="B2" s="3"/>
      <c r="C2" s="3"/>
      <c r="K2" s="3"/>
      <c r="L2" s="2"/>
      <c r="M2" s="2"/>
      <c r="N2" s="5" t="s">
        <v>1</v>
      </c>
      <c r="O2" s="6" t="s">
        <v>2</v>
      </c>
      <c r="Q2" s="2"/>
    </row>
    <row r="3" ht="18.0" customHeight="1">
      <c r="A3" s="7"/>
      <c r="B3" s="2"/>
      <c r="C3" s="8"/>
      <c r="D3" s="9" t="s">
        <v>3</v>
      </c>
      <c r="K3" s="8"/>
      <c r="L3" s="2"/>
      <c r="M3" s="2"/>
      <c r="N3" s="10" t="s">
        <v>4</v>
      </c>
      <c r="O3" s="11">
        <v>44264.0</v>
      </c>
      <c r="Q3" s="2"/>
    </row>
    <row r="4" ht="18.0" customHeight="1">
      <c r="A4" s="7"/>
      <c r="B4" s="8"/>
      <c r="C4" s="8"/>
      <c r="K4" s="8"/>
      <c r="L4" s="2"/>
      <c r="M4" s="2"/>
      <c r="N4" s="12" t="s">
        <v>5</v>
      </c>
      <c r="O4" s="13">
        <v>44295.0</v>
      </c>
      <c r="Q4" s="2"/>
    </row>
    <row r="5" ht="22.5" customHeight="1">
      <c r="A5" s="14"/>
      <c r="B5" s="15"/>
      <c r="C5" s="15"/>
      <c r="D5" s="16"/>
      <c r="E5" s="16"/>
      <c r="F5" s="16"/>
      <c r="G5" s="16"/>
      <c r="H5" s="16"/>
      <c r="I5" s="16"/>
      <c r="J5" s="16"/>
      <c r="K5" s="15"/>
      <c r="L5" s="15"/>
      <c r="M5" s="14"/>
      <c r="N5" s="15"/>
      <c r="O5" s="14"/>
      <c r="P5" s="17"/>
      <c r="Q5" s="17"/>
    </row>
    <row r="6">
      <c r="H6" s="18"/>
      <c r="I6" s="18"/>
      <c r="J6" s="18"/>
      <c r="K6" s="18"/>
      <c r="L6" s="18"/>
      <c r="M6" s="18"/>
      <c r="N6" s="18"/>
      <c r="O6" s="18"/>
      <c r="P6" s="18"/>
      <c r="Q6" s="18"/>
    </row>
    <row r="7">
      <c r="A7" s="19" t="s">
        <v>35</v>
      </c>
      <c r="C7" s="20" t="s">
        <v>36</v>
      </c>
    </row>
    <row r="9">
      <c r="D9" s="50" t="s">
        <v>37</v>
      </c>
      <c r="I9" s="51" t="s">
        <v>9</v>
      </c>
      <c r="K9" s="52" t="s">
        <v>38</v>
      </c>
      <c r="P9" s="51" t="s">
        <v>9</v>
      </c>
    </row>
    <row r="10">
      <c r="D10" s="22"/>
      <c r="E10" s="22"/>
      <c r="F10" s="22"/>
      <c r="G10" s="22"/>
      <c r="H10" s="22"/>
      <c r="I10" s="22"/>
      <c r="K10" s="22"/>
      <c r="L10" s="22"/>
      <c r="M10" s="22"/>
      <c r="N10" s="22"/>
      <c r="O10" s="22"/>
      <c r="P10" s="22"/>
    </row>
    <row r="11">
      <c r="D11" s="52" t="s">
        <v>39</v>
      </c>
      <c r="I11" s="51" t="s">
        <v>9</v>
      </c>
      <c r="K11" s="52" t="s">
        <v>40</v>
      </c>
      <c r="P11" s="51" t="s">
        <v>41</v>
      </c>
    </row>
    <row r="12">
      <c r="D12" s="22"/>
      <c r="E12" s="22"/>
      <c r="F12" s="22"/>
      <c r="G12" s="22"/>
      <c r="H12" s="22"/>
      <c r="I12" s="22"/>
      <c r="K12" s="22"/>
      <c r="L12" s="22"/>
      <c r="M12" s="22"/>
      <c r="N12" s="22"/>
      <c r="O12" s="22"/>
      <c r="P12" s="22"/>
    </row>
    <row r="13">
      <c r="D13" s="52" t="s">
        <v>42</v>
      </c>
      <c r="I13" s="51" t="s">
        <v>9</v>
      </c>
      <c r="K13" s="53" t="s">
        <v>43</v>
      </c>
      <c r="L13" s="54"/>
      <c r="M13" s="54"/>
      <c r="N13" s="54"/>
      <c r="O13" s="54"/>
      <c r="P13" s="24" t="s">
        <v>9</v>
      </c>
    </row>
    <row r="14">
      <c r="D14" s="22"/>
      <c r="E14" s="22"/>
      <c r="F14" s="22"/>
      <c r="G14" s="22"/>
      <c r="H14" s="22"/>
      <c r="I14" s="22"/>
      <c r="K14" s="55" t="s">
        <v>44</v>
      </c>
      <c r="L14" s="56"/>
      <c r="M14" s="56"/>
      <c r="N14" s="56"/>
      <c r="O14" s="56"/>
      <c r="P14" s="24" t="s">
        <v>9</v>
      </c>
    </row>
    <row r="15">
      <c r="D15" s="52" t="s">
        <v>45</v>
      </c>
      <c r="I15" s="57">
        <v>44256.0</v>
      </c>
      <c r="K15" s="58" t="s">
        <v>46</v>
      </c>
      <c r="P15" s="51" t="s">
        <v>9</v>
      </c>
    </row>
    <row r="16">
      <c r="D16" s="22"/>
      <c r="E16" s="22"/>
      <c r="F16" s="22"/>
      <c r="G16" s="22"/>
      <c r="H16" s="22"/>
      <c r="I16" s="22"/>
      <c r="P16" s="22"/>
    </row>
    <row r="17" ht="19.5" customHeight="1">
      <c r="D17" s="52" t="s">
        <v>47</v>
      </c>
      <c r="I17" s="59" t="s">
        <v>9</v>
      </c>
      <c r="K17" s="55" t="s">
        <v>48</v>
      </c>
      <c r="L17" s="56"/>
      <c r="M17" s="56"/>
      <c r="N17" s="56"/>
      <c r="O17" s="56"/>
      <c r="P17" s="24" t="s">
        <v>9</v>
      </c>
    </row>
    <row r="18" ht="19.5" customHeight="1">
      <c r="D18" s="22"/>
      <c r="E18" s="22"/>
      <c r="F18" s="22"/>
      <c r="G18" s="22"/>
      <c r="H18" s="22"/>
      <c r="I18" s="22"/>
      <c r="K18" s="58" t="s">
        <v>49</v>
      </c>
      <c r="P18" s="51" t="s">
        <v>9</v>
      </c>
    </row>
    <row r="19">
      <c r="D19" s="25" t="s">
        <v>50</v>
      </c>
      <c r="E19" s="23"/>
      <c r="F19" s="23"/>
      <c r="G19" s="23"/>
      <c r="H19" s="23"/>
      <c r="I19" s="24" t="s">
        <v>9</v>
      </c>
      <c r="K19" s="22"/>
      <c r="L19" s="22"/>
      <c r="M19" s="22"/>
      <c r="N19" s="22"/>
      <c r="O19" s="22"/>
      <c r="P19" s="22"/>
    </row>
    <row r="20">
      <c r="D20" s="25" t="s">
        <v>51</v>
      </c>
      <c r="E20" s="23"/>
      <c r="F20" s="23"/>
      <c r="G20" s="23"/>
      <c r="H20" s="23"/>
      <c r="I20" s="27" t="s">
        <v>9</v>
      </c>
      <c r="K20" s="30" t="s">
        <v>52</v>
      </c>
      <c r="L20" s="23"/>
      <c r="M20" s="23"/>
      <c r="N20" s="23"/>
      <c r="O20" s="23"/>
      <c r="P20" s="24" t="s">
        <v>9</v>
      </c>
    </row>
    <row r="22">
      <c r="O22" s="28">
        <v>3150.0</v>
      </c>
    </row>
    <row r="23">
      <c r="I23" s="54"/>
      <c r="J23" s="54"/>
    </row>
    <row r="24">
      <c r="C24" s="60" t="s">
        <v>53</v>
      </c>
      <c r="J24" s="61"/>
      <c r="K24" s="61"/>
      <c r="L24" s="61"/>
      <c r="M24" s="61"/>
      <c r="N24" s="61"/>
      <c r="O24" s="61"/>
      <c r="P24" s="61"/>
      <c r="Q24" s="61"/>
    </row>
    <row r="25">
      <c r="J25" s="61"/>
      <c r="K25" s="61"/>
      <c r="L25" s="61"/>
      <c r="M25" s="61"/>
      <c r="N25" s="61"/>
      <c r="O25" s="61"/>
      <c r="P25" s="61"/>
      <c r="Q25" s="61"/>
    </row>
    <row r="26">
      <c r="C26" s="61"/>
      <c r="D26" s="52" t="s">
        <v>54</v>
      </c>
      <c r="I26" s="62" t="s">
        <v>9</v>
      </c>
      <c r="J26" s="61"/>
      <c r="K26" s="63" t="s">
        <v>55</v>
      </c>
      <c r="L26" s="63"/>
      <c r="M26" s="63"/>
      <c r="N26" s="63"/>
      <c r="O26" s="63"/>
      <c r="P26" s="64">
        <v>44256.0</v>
      </c>
      <c r="Q26" s="61"/>
    </row>
    <row r="27">
      <c r="C27" s="61"/>
      <c r="D27" s="22"/>
      <c r="E27" s="22"/>
      <c r="F27" s="22"/>
      <c r="G27" s="22"/>
      <c r="H27" s="22"/>
      <c r="I27" s="22"/>
      <c r="J27" s="61"/>
      <c r="K27" s="25" t="s">
        <v>56</v>
      </c>
      <c r="L27" s="63"/>
      <c r="M27" s="63"/>
      <c r="N27" s="63"/>
      <c r="O27" s="63"/>
      <c r="P27" s="65" t="s">
        <v>9</v>
      </c>
      <c r="Q27" s="61"/>
    </row>
    <row r="28">
      <c r="C28" s="61"/>
      <c r="D28" s="66" t="s">
        <v>57</v>
      </c>
      <c r="I28" s="62" t="s">
        <v>9</v>
      </c>
      <c r="J28" s="61"/>
      <c r="K28" s="67" t="s">
        <v>40</v>
      </c>
      <c r="P28" s="68" t="s">
        <v>41</v>
      </c>
      <c r="Q28" s="61"/>
    </row>
    <row r="29">
      <c r="C29" s="61"/>
      <c r="D29" s="22"/>
      <c r="E29" s="22"/>
      <c r="F29" s="22"/>
      <c r="G29" s="22"/>
      <c r="H29" s="22"/>
      <c r="I29" s="22"/>
      <c r="J29" s="61"/>
      <c r="K29" s="22"/>
      <c r="L29" s="22"/>
      <c r="M29" s="22"/>
      <c r="N29" s="22"/>
      <c r="O29" s="22"/>
      <c r="P29" s="22"/>
      <c r="Q29" s="61"/>
    </row>
    <row r="30">
      <c r="C30" s="61"/>
      <c r="D30" s="69" t="s">
        <v>58</v>
      </c>
      <c r="E30" s="70"/>
      <c r="F30" s="70"/>
      <c r="G30" s="70"/>
      <c r="H30" s="70"/>
      <c r="I30" s="71" t="s">
        <v>9</v>
      </c>
      <c r="J30" s="61"/>
      <c r="K30" s="72" t="s">
        <v>43</v>
      </c>
      <c r="L30" s="73"/>
      <c r="M30" s="73"/>
      <c r="N30" s="74"/>
      <c r="O30" s="74"/>
      <c r="P30" s="75" t="s">
        <v>9</v>
      </c>
      <c r="Q30" s="61"/>
    </row>
    <row r="31">
      <c r="C31" s="76"/>
      <c r="D31" s="77" t="s">
        <v>59</v>
      </c>
      <c r="I31" s="78">
        <v>44256.0</v>
      </c>
      <c r="J31" s="61"/>
      <c r="K31" s="79" t="s">
        <v>60</v>
      </c>
      <c r="L31" s="73"/>
      <c r="M31" s="73"/>
      <c r="N31" s="74"/>
      <c r="O31" s="74"/>
      <c r="P31" s="75" t="s">
        <v>9</v>
      </c>
      <c r="Q31" s="61"/>
    </row>
    <row r="32">
      <c r="C32" s="61"/>
      <c r="D32" s="22"/>
      <c r="E32" s="22"/>
      <c r="F32" s="22"/>
      <c r="G32" s="22"/>
      <c r="H32" s="22"/>
      <c r="I32" s="22"/>
      <c r="J32" s="61"/>
      <c r="K32" s="80" t="s">
        <v>61</v>
      </c>
      <c r="L32" s="80"/>
      <c r="M32" s="80"/>
      <c r="N32" s="80"/>
      <c r="O32" s="80"/>
      <c r="P32" s="81">
        <v>1.0</v>
      </c>
      <c r="Q32" s="61"/>
    </row>
    <row r="33">
      <c r="C33" s="61"/>
      <c r="D33" s="82" t="s">
        <v>62</v>
      </c>
      <c r="I33" s="83" t="s">
        <v>9</v>
      </c>
      <c r="J33" s="61"/>
      <c r="K33" s="84"/>
      <c r="L33" s="84"/>
      <c r="M33" s="84"/>
      <c r="N33" s="84"/>
      <c r="O33" s="84"/>
      <c r="P33" s="85"/>
      <c r="Q33" s="61"/>
    </row>
    <row r="34">
      <c r="C34" s="61"/>
      <c r="D34" s="22"/>
      <c r="E34" s="22"/>
      <c r="F34" s="22"/>
      <c r="G34" s="22"/>
      <c r="H34" s="22"/>
      <c r="I34" s="22"/>
      <c r="J34" s="61"/>
      <c r="K34" s="86"/>
      <c r="L34" s="87"/>
      <c r="M34" s="87"/>
      <c r="N34" s="61"/>
      <c r="O34" s="88"/>
      <c r="P34" s="88"/>
      <c r="Q34" s="88"/>
    </row>
    <row r="35">
      <c r="C35" s="61"/>
      <c r="D35" s="67"/>
      <c r="E35" s="67"/>
      <c r="F35" s="67"/>
      <c r="G35" s="67"/>
      <c r="H35" s="67"/>
      <c r="J35" s="61"/>
      <c r="N35" s="89"/>
      <c r="O35" s="90">
        <v>4210.0</v>
      </c>
    </row>
    <row r="36">
      <c r="C36" s="61"/>
      <c r="D36" s="91"/>
      <c r="E36" s="87"/>
      <c r="F36" s="87"/>
      <c r="G36" s="87"/>
      <c r="H36" s="61"/>
      <c r="I36" s="92"/>
      <c r="J36" s="61"/>
      <c r="K36" s="89"/>
      <c r="L36" s="89"/>
      <c r="M36" s="89"/>
      <c r="N36" s="89"/>
      <c r="O36" s="88"/>
      <c r="P36" s="88"/>
      <c r="Q36" s="88"/>
    </row>
    <row r="37">
      <c r="C37" s="61"/>
      <c r="D37" s="91"/>
      <c r="E37" s="87"/>
      <c r="F37" s="87"/>
      <c r="G37" s="87"/>
      <c r="H37" s="61"/>
    </row>
    <row r="38">
      <c r="C38" s="61"/>
      <c r="D38" s="61"/>
      <c r="E38" s="61"/>
      <c r="M38" s="49" t="s">
        <v>32</v>
      </c>
      <c r="O38" s="35">
        <f>O22+O35</f>
        <v>7360</v>
      </c>
    </row>
    <row r="39">
      <c r="C39" s="61"/>
      <c r="D39" s="61"/>
      <c r="E39" s="61"/>
      <c r="K39" s="61"/>
      <c r="L39" s="61"/>
    </row>
    <row r="40"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</row>
    <row r="41">
      <c r="C41" s="36" t="s">
        <v>24</v>
      </c>
    </row>
    <row r="42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37"/>
    </row>
    <row r="43" ht="22.5" customHeight="1">
      <c r="D43" s="38"/>
      <c r="H43" s="38" t="s">
        <v>33</v>
      </c>
      <c r="L43" s="38"/>
      <c r="P43" s="38"/>
      <c r="Q43" s="39"/>
    </row>
    <row r="44">
      <c r="D44" s="40"/>
      <c r="H44" s="40" t="s">
        <v>34</v>
      </c>
      <c r="L44" s="40"/>
      <c r="Q44" s="39"/>
    </row>
    <row r="45">
      <c r="A45" s="19"/>
      <c r="D45" s="41"/>
      <c r="E45" s="29"/>
      <c r="H45" s="41">
        <v>0.1</v>
      </c>
      <c r="I45" s="42">
        <f>O38*H45</f>
        <v>736</v>
      </c>
      <c r="L45" s="43"/>
    </row>
    <row r="46">
      <c r="A46" s="19"/>
      <c r="D46" s="41"/>
      <c r="E46" s="29"/>
      <c r="H46" s="44"/>
      <c r="I46" s="45">
        <f>O38-I45</f>
        <v>6624</v>
      </c>
      <c r="J46" s="46"/>
      <c r="L46" s="43"/>
      <c r="M46" s="29"/>
      <c r="Q46" s="39"/>
    </row>
  </sheetData>
  <mergeCells count="53">
    <mergeCell ref="D9:H10"/>
    <mergeCell ref="I9:I10"/>
    <mergeCell ref="K9:O10"/>
    <mergeCell ref="P9:P10"/>
    <mergeCell ref="D11:H12"/>
    <mergeCell ref="I11:I12"/>
    <mergeCell ref="K11:O12"/>
    <mergeCell ref="P11:P12"/>
    <mergeCell ref="D13:H14"/>
    <mergeCell ref="I13:I14"/>
    <mergeCell ref="D15:H16"/>
    <mergeCell ref="I15:I16"/>
    <mergeCell ref="K15:O16"/>
    <mergeCell ref="P15:P16"/>
    <mergeCell ref="C24:I25"/>
    <mergeCell ref="D26:H27"/>
    <mergeCell ref="I26:I27"/>
    <mergeCell ref="C41:O42"/>
    <mergeCell ref="D43:F43"/>
    <mergeCell ref="H43:J43"/>
    <mergeCell ref="L43:N43"/>
    <mergeCell ref="D44:F44"/>
    <mergeCell ref="H44:J44"/>
    <mergeCell ref="E45:F45"/>
    <mergeCell ref="I45:J45"/>
    <mergeCell ref="L45:N45"/>
    <mergeCell ref="E46:F46"/>
    <mergeCell ref="I46:J46"/>
    <mergeCell ref="M46:N46"/>
    <mergeCell ref="D1:J2"/>
    <mergeCell ref="O2:P2"/>
    <mergeCell ref="D3:J4"/>
    <mergeCell ref="O3:P3"/>
    <mergeCell ref="O4:P4"/>
    <mergeCell ref="A7:A44"/>
    <mergeCell ref="C7:I8"/>
    <mergeCell ref="L44:N44"/>
    <mergeCell ref="D17:H18"/>
    <mergeCell ref="I17:I18"/>
    <mergeCell ref="K18:O19"/>
    <mergeCell ref="P18:P19"/>
    <mergeCell ref="O22:Q22"/>
    <mergeCell ref="D28:H29"/>
    <mergeCell ref="I28:I29"/>
    <mergeCell ref="K28:O29"/>
    <mergeCell ref="P28:P29"/>
    <mergeCell ref="D31:H32"/>
    <mergeCell ref="I31:I32"/>
    <mergeCell ref="D33:H34"/>
    <mergeCell ref="I33:I34"/>
    <mergeCell ref="O35:Q35"/>
    <mergeCell ref="M38:N39"/>
    <mergeCell ref="O38:Q39"/>
  </mergeCells>
  <printOptions gridLines="1" horizontalCentered="1"/>
  <pageMargins bottom="0.27045454545454545" footer="0.0" header="0.0" left="0.39370078740157477" right="0.39370078740157477" top="0.3090909090909091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7" width="5.63"/>
  </cols>
  <sheetData>
    <row r="1">
      <c r="A1" s="1"/>
      <c r="B1" s="2"/>
      <c r="C1" s="3"/>
      <c r="D1" s="3" t="s">
        <v>0</v>
      </c>
      <c r="K1" s="3"/>
      <c r="L1" s="3"/>
      <c r="M1" s="3"/>
      <c r="N1" s="2"/>
      <c r="O1" s="2"/>
      <c r="P1" s="2"/>
      <c r="Q1" s="4"/>
    </row>
    <row r="2">
      <c r="A2" s="1"/>
      <c r="B2" s="3"/>
      <c r="C2" s="3"/>
      <c r="K2" s="3"/>
      <c r="L2" s="2"/>
      <c r="M2" s="2"/>
      <c r="N2" s="5" t="s">
        <v>1</v>
      </c>
      <c r="O2" s="6" t="s">
        <v>2</v>
      </c>
      <c r="Q2" s="2"/>
    </row>
    <row r="3" ht="19.5" customHeight="1">
      <c r="A3" s="7"/>
      <c r="B3" s="2"/>
      <c r="C3" s="8"/>
      <c r="D3" s="9" t="s">
        <v>3</v>
      </c>
      <c r="K3" s="8"/>
      <c r="L3" s="2"/>
      <c r="M3" s="2"/>
      <c r="N3" s="10" t="s">
        <v>4</v>
      </c>
      <c r="O3" s="11">
        <v>44264.0</v>
      </c>
      <c r="Q3" s="2"/>
    </row>
    <row r="4" ht="22.5" customHeight="1">
      <c r="A4" s="7"/>
      <c r="B4" s="8"/>
      <c r="C4" s="8"/>
      <c r="K4" s="8"/>
      <c r="L4" s="2"/>
      <c r="M4" s="2"/>
      <c r="N4" s="12" t="s">
        <v>5</v>
      </c>
      <c r="O4" s="13">
        <v>44295.0</v>
      </c>
      <c r="Q4" s="2"/>
    </row>
    <row r="5">
      <c r="A5" s="14"/>
      <c r="B5" s="15"/>
      <c r="C5" s="15"/>
      <c r="D5" s="16"/>
      <c r="E5" s="16"/>
      <c r="F5" s="16"/>
      <c r="G5" s="16"/>
      <c r="H5" s="16"/>
      <c r="I5" s="16"/>
      <c r="J5" s="16"/>
      <c r="K5" s="15"/>
      <c r="L5" s="15"/>
      <c r="M5" s="14"/>
      <c r="N5" s="15"/>
      <c r="O5" s="14"/>
      <c r="P5" s="17"/>
      <c r="Q5" s="17"/>
    </row>
    <row r="8">
      <c r="F8" s="93" t="s">
        <v>63</v>
      </c>
    </row>
    <row r="10">
      <c r="A10" s="94" t="s">
        <v>64</v>
      </c>
      <c r="J10" s="95" t="s">
        <v>65</v>
      </c>
      <c r="K10" s="95"/>
      <c r="L10" s="95"/>
      <c r="M10" s="95"/>
      <c r="N10" s="95"/>
      <c r="O10" s="95"/>
      <c r="P10" s="95"/>
    </row>
    <row r="11">
      <c r="B11" s="96" t="s">
        <v>66</v>
      </c>
      <c r="J11" s="95"/>
      <c r="K11" s="97" t="s">
        <v>67</v>
      </c>
      <c r="L11" s="98"/>
      <c r="M11" s="98"/>
      <c r="O11" s="95"/>
      <c r="P11" s="95"/>
    </row>
    <row r="12">
      <c r="J12" s="95"/>
      <c r="K12" s="97" t="s">
        <v>68</v>
      </c>
      <c r="L12" s="98"/>
      <c r="M12" s="98"/>
      <c r="O12" s="95"/>
      <c r="P12" s="95"/>
    </row>
    <row r="13">
      <c r="A13" s="94" t="s">
        <v>69</v>
      </c>
      <c r="K13" s="97" t="s">
        <v>70</v>
      </c>
      <c r="L13" s="98"/>
      <c r="M13" s="98"/>
    </row>
    <row r="14">
      <c r="B14" s="96" t="s">
        <v>66</v>
      </c>
      <c r="K14" s="97" t="s">
        <v>71</v>
      </c>
      <c r="L14" s="98"/>
      <c r="M14" s="98"/>
    </row>
    <row r="15">
      <c r="K15" s="97" t="s">
        <v>72</v>
      </c>
      <c r="L15" s="98"/>
      <c r="M15" s="98"/>
    </row>
    <row r="16">
      <c r="A16" s="99" t="s">
        <v>73</v>
      </c>
      <c r="K16" s="97" t="s">
        <v>74</v>
      </c>
      <c r="L16" s="98"/>
      <c r="M16" s="98"/>
    </row>
    <row r="17">
      <c r="K17" s="97" t="s">
        <v>75</v>
      </c>
      <c r="L17" s="98"/>
      <c r="M17" s="98"/>
    </row>
    <row r="18">
      <c r="K18" s="97" t="s">
        <v>76</v>
      </c>
      <c r="L18" s="98"/>
      <c r="M18" s="98"/>
    </row>
    <row r="20">
      <c r="A20" s="94" t="s">
        <v>77</v>
      </c>
    </row>
    <row r="21">
      <c r="B21" s="96" t="s">
        <v>78</v>
      </c>
    </row>
    <row r="22">
      <c r="B22" s="96" t="s">
        <v>79</v>
      </c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</row>
    <row r="29">
      <c r="A29" s="101" t="s">
        <v>80</v>
      </c>
    </row>
    <row r="34">
      <c r="A34" s="102" t="s">
        <v>81</v>
      </c>
    </row>
    <row r="35">
      <c r="A35" s="102" t="s">
        <v>82</v>
      </c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</row>
    <row r="37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</row>
    <row r="38">
      <c r="A38" s="103"/>
      <c r="B38" s="104">
        <v>4.428131164E9</v>
      </c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</row>
    <row r="39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</row>
    <row r="40">
      <c r="A40" s="105"/>
    </row>
    <row r="41">
      <c r="A41" s="105"/>
    </row>
    <row r="42">
      <c r="A42" s="105"/>
    </row>
    <row r="43">
      <c r="A43" s="105"/>
    </row>
    <row r="44">
      <c r="A44" s="105"/>
    </row>
    <row r="45">
      <c r="A45" s="105"/>
    </row>
    <row r="46">
      <c r="A46" s="105"/>
    </row>
    <row r="48">
      <c r="A48" s="105"/>
    </row>
    <row r="49">
      <c r="A49" s="105"/>
    </row>
    <row r="50">
      <c r="A50" s="105"/>
    </row>
    <row r="51">
      <c r="A51" s="105"/>
    </row>
    <row r="52">
      <c r="A52" s="105"/>
    </row>
    <row r="53">
      <c r="A53" s="105"/>
    </row>
    <row r="54">
      <c r="A54" s="105"/>
    </row>
    <row r="55">
      <c r="A55" s="105"/>
    </row>
    <row r="56">
      <c r="A56" s="105"/>
    </row>
    <row r="57">
      <c r="A57" s="105"/>
    </row>
    <row r="58">
      <c r="A58" s="105"/>
    </row>
    <row r="59">
      <c r="A59" s="105"/>
    </row>
    <row r="60">
      <c r="A60" s="105"/>
    </row>
    <row r="61">
      <c r="A61" s="105"/>
    </row>
    <row r="62">
      <c r="A62" s="105"/>
    </row>
    <row r="63">
      <c r="A63" s="105"/>
    </row>
    <row r="64">
      <c r="A64" s="105"/>
    </row>
    <row r="65">
      <c r="A65" s="105"/>
    </row>
    <row r="66">
      <c r="A66" s="105"/>
    </row>
    <row r="67">
      <c r="A67" s="105"/>
    </row>
    <row r="68">
      <c r="A68" s="105"/>
    </row>
    <row r="69">
      <c r="A69" s="105"/>
    </row>
    <row r="70">
      <c r="A70" s="105"/>
    </row>
    <row r="71">
      <c r="A71" s="105"/>
    </row>
    <row r="72">
      <c r="A72" s="105"/>
    </row>
    <row r="73">
      <c r="A73" s="105"/>
    </row>
    <row r="74">
      <c r="A74" s="105"/>
    </row>
    <row r="75">
      <c r="A75" s="105"/>
    </row>
    <row r="76">
      <c r="A76" s="105"/>
    </row>
    <row r="77">
      <c r="A77" s="105"/>
    </row>
    <row r="78">
      <c r="A78" s="105"/>
    </row>
    <row r="79">
      <c r="A79" s="105"/>
    </row>
    <row r="80">
      <c r="A80" s="105"/>
    </row>
    <row r="81">
      <c r="A81" s="105"/>
    </row>
    <row r="82">
      <c r="A82" s="105"/>
    </row>
    <row r="83">
      <c r="A83" s="105"/>
    </row>
    <row r="84">
      <c r="A84" s="105"/>
    </row>
    <row r="85">
      <c r="A85" s="105"/>
    </row>
    <row r="86">
      <c r="A86" s="105"/>
    </row>
    <row r="87">
      <c r="A87" s="105"/>
    </row>
    <row r="88">
      <c r="A88" s="105"/>
    </row>
    <row r="89">
      <c r="A89" s="105"/>
    </row>
    <row r="90">
      <c r="A90" s="105"/>
    </row>
    <row r="91">
      <c r="A91" s="105"/>
    </row>
    <row r="92">
      <c r="A92" s="105"/>
    </row>
    <row r="93">
      <c r="A93" s="105"/>
    </row>
    <row r="94">
      <c r="A94" s="105"/>
    </row>
    <row r="95">
      <c r="A95" s="105"/>
    </row>
    <row r="96">
      <c r="A96" s="105"/>
    </row>
    <row r="97">
      <c r="A97" s="105"/>
    </row>
    <row r="98">
      <c r="A98" s="105"/>
    </row>
    <row r="99">
      <c r="A99" s="105"/>
    </row>
    <row r="100">
      <c r="A100" s="105"/>
    </row>
    <row r="101">
      <c r="A101" s="105"/>
    </row>
    <row r="102">
      <c r="A102" s="105"/>
    </row>
    <row r="103">
      <c r="A103" s="105"/>
    </row>
    <row r="104">
      <c r="A104" s="105"/>
    </row>
    <row r="105">
      <c r="A105" s="105"/>
    </row>
    <row r="106">
      <c r="A106" s="105"/>
    </row>
    <row r="107">
      <c r="A107" s="105"/>
    </row>
    <row r="108">
      <c r="A108" s="105"/>
    </row>
    <row r="109">
      <c r="A109" s="105"/>
    </row>
    <row r="110">
      <c r="A110" s="105"/>
    </row>
    <row r="111">
      <c r="A111" s="105"/>
    </row>
    <row r="112">
      <c r="A112" s="105"/>
    </row>
    <row r="113">
      <c r="A113" s="105"/>
    </row>
    <row r="114">
      <c r="A114" s="105"/>
    </row>
    <row r="115">
      <c r="A115" s="105"/>
    </row>
    <row r="116">
      <c r="A116" s="105"/>
    </row>
    <row r="117">
      <c r="A117" s="105"/>
    </row>
    <row r="118">
      <c r="A118" s="105"/>
    </row>
    <row r="119">
      <c r="A119" s="105"/>
    </row>
    <row r="120">
      <c r="A120" s="105"/>
    </row>
    <row r="121">
      <c r="A121" s="105"/>
    </row>
    <row r="122">
      <c r="A122" s="105"/>
    </row>
    <row r="123">
      <c r="A123" s="105"/>
    </row>
    <row r="124">
      <c r="A124" s="105"/>
    </row>
    <row r="125">
      <c r="A125" s="105"/>
    </row>
    <row r="126">
      <c r="A126" s="105"/>
    </row>
    <row r="127">
      <c r="A127" s="105"/>
    </row>
    <row r="128">
      <c r="A128" s="105"/>
    </row>
    <row r="129">
      <c r="A129" s="105"/>
    </row>
    <row r="130">
      <c r="A130" s="105"/>
    </row>
    <row r="131">
      <c r="A131" s="105"/>
    </row>
    <row r="132">
      <c r="A132" s="105"/>
    </row>
    <row r="133">
      <c r="A133" s="105"/>
    </row>
    <row r="134">
      <c r="A134" s="105"/>
    </row>
    <row r="135">
      <c r="A135" s="105"/>
    </row>
    <row r="136">
      <c r="A136" s="105"/>
    </row>
    <row r="137">
      <c r="A137" s="105"/>
    </row>
    <row r="138">
      <c r="A138" s="105"/>
    </row>
    <row r="139">
      <c r="A139" s="105"/>
    </row>
    <row r="140">
      <c r="A140" s="105"/>
    </row>
    <row r="141">
      <c r="A141" s="105"/>
    </row>
    <row r="142">
      <c r="A142" s="105"/>
    </row>
    <row r="143">
      <c r="A143" s="105"/>
    </row>
    <row r="144">
      <c r="A144" s="105"/>
    </row>
    <row r="145">
      <c r="A145" s="105"/>
    </row>
    <row r="146">
      <c r="A146" s="105"/>
    </row>
    <row r="147">
      <c r="A147" s="105"/>
    </row>
    <row r="148">
      <c r="A148" s="105"/>
    </row>
    <row r="149">
      <c r="A149" s="105"/>
    </row>
    <row r="150">
      <c r="A150" s="105"/>
    </row>
    <row r="151">
      <c r="A151" s="105"/>
    </row>
    <row r="152">
      <c r="A152" s="105"/>
    </row>
    <row r="153">
      <c r="A153" s="105"/>
    </row>
    <row r="154">
      <c r="A154" s="105"/>
    </row>
    <row r="155">
      <c r="A155" s="105"/>
    </row>
    <row r="156">
      <c r="A156" s="105"/>
    </row>
    <row r="157">
      <c r="A157" s="105"/>
    </row>
    <row r="158">
      <c r="A158" s="105"/>
    </row>
    <row r="159">
      <c r="A159" s="105"/>
    </row>
    <row r="160">
      <c r="A160" s="105"/>
    </row>
    <row r="161">
      <c r="A161" s="105"/>
    </row>
    <row r="162">
      <c r="A162" s="105"/>
    </row>
    <row r="163">
      <c r="A163" s="105"/>
    </row>
    <row r="164">
      <c r="A164" s="105"/>
    </row>
    <row r="165">
      <c r="A165" s="105"/>
    </row>
    <row r="166">
      <c r="A166" s="105"/>
    </row>
    <row r="167">
      <c r="A167" s="105"/>
    </row>
    <row r="168">
      <c r="A168" s="105"/>
    </row>
    <row r="169">
      <c r="A169" s="105"/>
    </row>
    <row r="170">
      <c r="A170" s="105"/>
    </row>
    <row r="171">
      <c r="A171" s="105"/>
    </row>
    <row r="172">
      <c r="A172" s="105"/>
    </row>
    <row r="173">
      <c r="A173" s="105"/>
    </row>
    <row r="174">
      <c r="A174" s="105"/>
    </row>
    <row r="175">
      <c r="A175" s="105"/>
    </row>
    <row r="176">
      <c r="A176" s="105"/>
    </row>
    <row r="177">
      <c r="A177" s="105"/>
    </row>
    <row r="178">
      <c r="A178" s="105"/>
    </row>
    <row r="179">
      <c r="A179" s="105"/>
    </row>
    <row r="180">
      <c r="A180" s="105"/>
    </row>
    <row r="181">
      <c r="A181" s="105"/>
    </row>
    <row r="182">
      <c r="A182" s="105"/>
    </row>
    <row r="183">
      <c r="A183" s="105"/>
    </row>
    <row r="184">
      <c r="A184" s="105"/>
    </row>
    <row r="185">
      <c r="A185" s="105"/>
    </row>
    <row r="186">
      <c r="A186" s="105"/>
    </row>
    <row r="187">
      <c r="A187" s="105"/>
    </row>
    <row r="188">
      <c r="A188" s="105"/>
    </row>
    <row r="189">
      <c r="A189" s="105"/>
    </row>
    <row r="190">
      <c r="A190" s="105"/>
    </row>
    <row r="191">
      <c r="A191" s="105"/>
    </row>
    <row r="192">
      <c r="A192" s="105"/>
    </row>
    <row r="193">
      <c r="A193" s="105"/>
    </row>
    <row r="194">
      <c r="A194" s="105"/>
    </row>
    <row r="195">
      <c r="A195" s="105"/>
    </row>
    <row r="196">
      <c r="A196" s="105"/>
    </row>
    <row r="197">
      <c r="A197" s="105"/>
    </row>
    <row r="198">
      <c r="A198" s="105"/>
    </row>
    <row r="199">
      <c r="A199" s="105"/>
    </row>
    <row r="200">
      <c r="A200" s="105"/>
    </row>
    <row r="201">
      <c r="A201" s="105"/>
    </row>
    <row r="202">
      <c r="A202" s="105"/>
    </row>
    <row r="203">
      <c r="A203" s="105"/>
    </row>
    <row r="204">
      <c r="A204" s="105"/>
    </row>
    <row r="205">
      <c r="A205" s="105"/>
    </row>
    <row r="206">
      <c r="A206" s="105"/>
    </row>
    <row r="207">
      <c r="A207" s="105"/>
    </row>
    <row r="208">
      <c r="A208" s="105"/>
    </row>
    <row r="209">
      <c r="A209" s="105"/>
    </row>
    <row r="210">
      <c r="A210" s="105"/>
    </row>
    <row r="211">
      <c r="A211" s="105"/>
    </row>
    <row r="212">
      <c r="A212" s="105"/>
    </row>
    <row r="213">
      <c r="A213" s="105"/>
    </row>
    <row r="214">
      <c r="A214" s="105"/>
    </row>
    <row r="215">
      <c r="A215" s="105"/>
    </row>
    <row r="216">
      <c r="A216" s="105"/>
    </row>
    <row r="217">
      <c r="A217" s="105"/>
    </row>
    <row r="218">
      <c r="A218" s="105"/>
    </row>
    <row r="219">
      <c r="A219" s="105"/>
    </row>
    <row r="220">
      <c r="A220" s="105"/>
    </row>
    <row r="221">
      <c r="A221" s="105"/>
    </row>
    <row r="222">
      <c r="A222" s="105"/>
    </row>
    <row r="223">
      <c r="A223" s="105"/>
    </row>
    <row r="224">
      <c r="A224" s="105"/>
    </row>
    <row r="225">
      <c r="A225" s="105"/>
    </row>
    <row r="226">
      <c r="A226" s="105"/>
    </row>
    <row r="227">
      <c r="A227" s="105"/>
    </row>
    <row r="228">
      <c r="A228" s="105"/>
    </row>
    <row r="229">
      <c r="A229" s="105"/>
    </row>
    <row r="230">
      <c r="A230" s="105"/>
    </row>
    <row r="231">
      <c r="A231" s="105"/>
    </row>
    <row r="232">
      <c r="A232" s="105"/>
    </row>
    <row r="233">
      <c r="A233" s="105"/>
    </row>
    <row r="234">
      <c r="A234" s="105"/>
    </row>
    <row r="235">
      <c r="A235" s="105"/>
    </row>
    <row r="236">
      <c r="A236" s="105"/>
    </row>
    <row r="237">
      <c r="A237" s="105"/>
    </row>
    <row r="238">
      <c r="A238" s="105"/>
    </row>
    <row r="239">
      <c r="A239" s="105"/>
    </row>
    <row r="240">
      <c r="A240" s="105"/>
    </row>
    <row r="241">
      <c r="A241" s="105"/>
    </row>
    <row r="242">
      <c r="A242" s="105"/>
    </row>
    <row r="243">
      <c r="A243" s="105"/>
    </row>
    <row r="244">
      <c r="A244" s="105"/>
    </row>
    <row r="245">
      <c r="A245" s="105"/>
    </row>
    <row r="246">
      <c r="A246" s="105"/>
    </row>
    <row r="247">
      <c r="A247" s="105"/>
    </row>
    <row r="248">
      <c r="A248" s="105"/>
    </row>
    <row r="249">
      <c r="A249" s="105"/>
    </row>
    <row r="250">
      <c r="A250" s="105"/>
    </row>
    <row r="251">
      <c r="A251" s="105"/>
    </row>
    <row r="252">
      <c r="A252" s="105"/>
    </row>
    <row r="253">
      <c r="A253" s="105"/>
    </row>
    <row r="254">
      <c r="A254" s="105"/>
    </row>
    <row r="255">
      <c r="A255" s="105"/>
    </row>
    <row r="256">
      <c r="A256" s="105"/>
    </row>
    <row r="257">
      <c r="A257" s="105"/>
    </row>
    <row r="258">
      <c r="A258" s="105"/>
    </row>
    <row r="259">
      <c r="A259" s="105"/>
    </row>
    <row r="260">
      <c r="A260" s="105"/>
    </row>
    <row r="261">
      <c r="A261" s="105"/>
    </row>
    <row r="262">
      <c r="A262" s="105"/>
    </row>
    <row r="263">
      <c r="A263" s="105"/>
    </row>
    <row r="264">
      <c r="A264" s="105"/>
    </row>
    <row r="265">
      <c r="A265" s="105"/>
    </row>
    <row r="266">
      <c r="A266" s="105"/>
    </row>
    <row r="267">
      <c r="A267" s="105"/>
    </row>
    <row r="268">
      <c r="A268" s="105"/>
    </row>
    <row r="269">
      <c r="A269" s="105"/>
    </row>
    <row r="270">
      <c r="A270" s="105"/>
    </row>
    <row r="271">
      <c r="A271" s="105"/>
    </row>
    <row r="272">
      <c r="A272" s="105"/>
    </row>
    <row r="273">
      <c r="A273" s="105"/>
    </row>
    <row r="274">
      <c r="A274" s="105"/>
    </row>
    <row r="275">
      <c r="A275" s="105"/>
    </row>
    <row r="276">
      <c r="A276" s="105"/>
    </row>
    <row r="277">
      <c r="A277" s="105"/>
    </row>
    <row r="278">
      <c r="A278" s="105"/>
    </row>
    <row r="279">
      <c r="A279" s="105"/>
    </row>
    <row r="280">
      <c r="A280" s="105"/>
    </row>
    <row r="281">
      <c r="A281" s="105"/>
    </row>
    <row r="282">
      <c r="A282" s="105"/>
    </row>
    <row r="283">
      <c r="A283" s="105"/>
    </row>
    <row r="284">
      <c r="A284" s="105"/>
    </row>
    <row r="285">
      <c r="A285" s="105"/>
    </row>
    <row r="286">
      <c r="A286" s="105"/>
    </row>
    <row r="287">
      <c r="A287" s="105"/>
    </row>
    <row r="288">
      <c r="A288" s="105"/>
    </row>
    <row r="289">
      <c r="A289" s="105"/>
    </row>
    <row r="290">
      <c r="A290" s="105"/>
    </row>
    <row r="291">
      <c r="A291" s="105"/>
    </row>
    <row r="292">
      <c r="A292" s="105"/>
    </row>
    <row r="293">
      <c r="A293" s="105"/>
    </row>
    <row r="294">
      <c r="A294" s="105"/>
    </row>
    <row r="295">
      <c r="A295" s="105"/>
    </row>
    <row r="296">
      <c r="A296" s="105"/>
    </row>
    <row r="297">
      <c r="A297" s="105"/>
    </row>
    <row r="298">
      <c r="A298" s="105"/>
    </row>
    <row r="299">
      <c r="A299" s="105"/>
    </row>
    <row r="300">
      <c r="A300" s="105"/>
    </row>
    <row r="301">
      <c r="A301" s="105"/>
    </row>
    <row r="302">
      <c r="A302" s="105"/>
    </row>
    <row r="303">
      <c r="A303" s="105"/>
    </row>
    <row r="304">
      <c r="A304" s="105"/>
    </row>
    <row r="305">
      <c r="A305" s="105"/>
    </row>
    <row r="306">
      <c r="A306" s="105"/>
    </row>
    <row r="307">
      <c r="A307" s="105"/>
    </row>
    <row r="308">
      <c r="A308" s="105"/>
    </row>
    <row r="309">
      <c r="A309" s="105"/>
    </row>
    <row r="310">
      <c r="A310" s="105"/>
    </row>
    <row r="311">
      <c r="A311" s="105"/>
    </row>
    <row r="312">
      <c r="A312" s="105"/>
    </row>
    <row r="313">
      <c r="A313" s="105"/>
    </row>
    <row r="314">
      <c r="A314" s="105"/>
    </row>
    <row r="315">
      <c r="A315" s="105"/>
    </row>
    <row r="316">
      <c r="A316" s="105"/>
    </row>
    <row r="317">
      <c r="A317" s="105"/>
    </row>
    <row r="318">
      <c r="A318" s="105"/>
    </row>
    <row r="319">
      <c r="A319" s="105"/>
    </row>
    <row r="320">
      <c r="A320" s="105"/>
    </row>
    <row r="321">
      <c r="A321" s="105"/>
    </row>
    <row r="322">
      <c r="A322" s="105"/>
    </row>
    <row r="323">
      <c r="A323" s="105"/>
    </row>
    <row r="324">
      <c r="A324" s="105"/>
    </row>
    <row r="325">
      <c r="A325" s="105"/>
    </row>
    <row r="326">
      <c r="A326" s="105"/>
    </row>
    <row r="327">
      <c r="A327" s="105"/>
    </row>
    <row r="328">
      <c r="A328" s="105"/>
    </row>
    <row r="329">
      <c r="A329" s="105"/>
    </row>
    <row r="330">
      <c r="A330" s="105"/>
    </row>
    <row r="331">
      <c r="A331" s="105"/>
    </row>
    <row r="332">
      <c r="A332" s="105"/>
    </row>
    <row r="333">
      <c r="A333" s="105"/>
    </row>
    <row r="334">
      <c r="A334" s="105"/>
    </row>
    <row r="335">
      <c r="A335" s="105"/>
    </row>
    <row r="336">
      <c r="A336" s="105"/>
    </row>
    <row r="337">
      <c r="A337" s="105"/>
    </row>
    <row r="338">
      <c r="A338" s="105"/>
    </row>
    <row r="339">
      <c r="A339" s="105"/>
    </row>
    <row r="340">
      <c r="A340" s="105"/>
    </row>
    <row r="341">
      <c r="A341" s="105"/>
    </row>
    <row r="342">
      <c r="A342" s="105"/>
    </row>
    <row r="343">
      <c r="A343" s="105"/>
    </row>
    <row r="344">
      <c r="A344" s="105"/>
    </row>
    <row r="345">
      <c r="A345" s="105"/>
    </row>
    <row r="346">
      <c r="A346" s="105"/>
    </row>
    <row r="347">
      <c r="A347" s="105"/>
    </row>
    <row r="348">
      <c r="A348" s="105"/>
    </row>
    <row r="349">
      <c r="A349" s="105"/>
    </row>
    <row r="350">
      <c r="A350" s="105"/>
    </row>
    <row r="351">
      <c r="A351" s="105"/>
    </row>
    <row r="352">
      <c r="A352" s="105"/>
    </row>
    <row r="353">
      <c r="A353" s="105"/>
    </row>
    <row r="354">
      <c r="A354" s="105"/>
    </row>
    <row r="355">
      <c r="A355" s="105"/>
    </row>
    <row r="356">
      <c r="A356" s="105"/>
    </row>
    <row r="357">
      <c r="A357" s="105"/>
    </row>
    <row r="358">
      <c r="A358" s="105"/>
    </row>
    <row r="359">
      <c r="A359" s="105"/>
    </row>
    <row r="360">
      <c r="A360" s="105"/>
    </row>
    <row r="361">
      <c r="A361" s="105"/>
    </row>
    <row r="362">
      <c r="A362" s="105"/>
    </row>
    <row r="363">
      <c r="A363" s="105"/>
    </row>
    <row r="364">
      <c r="A364" s="105"/>
    </row>
    <row r="365">
      <c r="A365" s="105"/>
    </row>
    <row r="366">
      <c r="A366" s="105"/>
    </row>
    <row r="367">
      <c r="A367" s="105"/>
    </row>
    <row r="368">
      <c r="A368" s="105"/>
    </row>
    <row r="369">
      <c r="A369" s="105"/>
    </row>
    <row r="370">
      <c r="A370" s="105"/>
    </row>
    <row r="371">
      <c r="A371" s="105"/>
    </row>
    <row r="372">
      <c r="A372" s="105"/>
    </row>
    <row r="373">
      <c r="A373" s="105"/>
    </row>
    <row r="374">
      <c r="A374" s="105"/>
    </row>
    <row r="375">
      <c r="A375" s="105"/>
    </row>
    <row r="376">
      <c r="A376" s="105"/>
    </row>
    <row r="377">
      <c r="A377" s="105"/>
    </row>
    <row r="378">
      <c r="A378" s="105"/>
    </row>
    <row r="379">
      <c r="A379" s="105"/>
    </row>
    <row r="380">
      <c r="A380" s="105"/>
    </row>
    <row r="381">
      <c r="A381" s="105"/>
    </row>
    <row r="382">
      <c r="A382" s="105"/>
    </row>
    <row r="383">
      <c r="A383" s="105"/>
    </row>
    <row r="384">
      <c r="A384" s="105"/>
    </row>
    <row r="385">
      <c r="A385" s="105"/>
    </row>
    <row r="386">
      <c r="A386" s="105"/>
    </row>
    <row r="387">
      <c r="A387" s="105"/>
    </row>
    <row r="388">
      <c r="A388" s="105"/>
    </row>
    <row r="389">
      <c r="A389" s="105"/>
    </row>
    <row r="390">
      <c r="A390" s="105"/>
    </row>
    <row r="391">
      <c r="A391" s="105"/>
    </row>
    <row r="392">
      <c r="A392" s="105"/>
    </row>
    <row r="393">
      <c r="A393" s="105"/>
    </row>
    <row r="394">
      <c r="A394" s="105"/>
    </row>
    <row r="395">
      <c r="A395" s="105"/>
    </row>
    <row r="396">
      <c r="A396" s="105"/>
    </row>
    <row r="397">
      <c r="A397" s="105"/>
    </row>
    <row r="398">
      <c r="A398" s="105"/>
    </row>
    <row r="399">
      <c r="A399" s="105"/>
    </row>
    <row r="400">
      <c r="A400" s="105"/>
    </row>
    <row r="401">
      <c r="A401" s="105"/>
    </row>
    <row r="402">
      <c r="A402" s="105"/>
    </row>
    <row r="403">
      <c r="A403" s="105"/>
    </row>
    <row r="404">
      <c r="A404" s="105"/>
    </row>
    <row r="405">
      <c r="A405" s="105"/>
    </row>
    <row r="406">
      <c r="A406" s="105"/>
    </row>
    <row r="407">
      <c r="A407" s="105"/>
    </row>
    <row r="408">
      <c r="A408" s="105"/>
    </row>
    <row r="409">
      <c r="A409" s="105"/>
    </row>
    <row r="410">
      <c r="A410" s="105"/>
    </row>
    <row r="411">
      <c r="A411" s="105"/>
    </row>
    <row r="412">
      <c r="A412" s="105"/>
    </row>
    <row r="413">
      <c r="A413" s="105"/>
    </row>
    <row r="414">
      <c r="A414" s="105"/>
    </row>
    <row r="415">
      <c r="A415" s="105"/>
    </row>
    <row r="416">
      <c r="A416" s="105"/>
    </row>
    <row r="417">
      <c r="A417" s="105"/>
    </row>
    <row r="418">
      <c r="A418" s="105"/>
    </row>
    <row r="419">
      <c r="A419" s="105"/>
    </row>
    <row r="420">
      <c r="A420" s="105"/>
    </row>
    <row r="421">
      <c r="A421" s="105"/>
    </row>
    <row r="422">
      <c r="A422" s="105"/>
    </row>
    <row r="423">
      <c r="A423" s="105"/>
    </row>
    <row r="424">
      <c r="A424" s="105"/>
    </row>
    <row r="425">
      <c r="A425" s="105"/>
    </row>
    <row r="426">
      <c r="A426" s="105"/>
    </row>
    <row r="427">
      <c r="A427" s="105"/>
    </row>
    <row r="428">
      <c r="A428" s="105"/>
    </row>
    <row r="429">
      <c r="A429" s="105"/>
    </row>
    <row r="430">
      <c r="A430" s="105"/>
    </row>
    <row r="431">
      <c r="A431" s="105"/>
    </row>
    <row r="432">
      <c r="A432" s="105"/>
    </row>
    <row r="433">
      <c r="A433" s="105"/>
    </row>
    <row r="434">
      <c r="A434" s="105"/>
    </row>
    <row r="435">
      <c r="A435" s="105"/>
    </row>
    <row r="436">
      <c r="A436" s="105"/>
    </row>
    <row r="437">
      <c r="A437" s="105"/>
    </row>
    <row r="438">
      <c r="A438" s="105"/>
    </row>
    <row r="439">
      <c r="A439" s="105"/>
    </row>
    <row r="440">
      <c r="A440" s="105"/>
    </row>
    <row r="441">
      <c r="A441" s="105"/>
    </row>
    <row r="442">
      <c r="A442" s="105"/>
    </row>
    <row r="443">
      <c r="A443" s="105"/>
    </row>
    <row r="444">
      <c r="A444" s="105"/>
    </row>
    <row r="445">
      <c r="A445" s="105"/>
    </row>
    <row r="446">
      <c r="A446" s="105"/>
    </row>
    <row r="447">
      <c r="A447" s="105"/>
    </row>
    <row r="448">
      <c r="A448" s="105"/>
    </row>
    <row r="449">
      <c r="A449" s="105"/>
    </row>
    <row r="450">
      <c r="A450" s="105"/>
    </row>
    <row r="451">
      <c r="A451" s="105"/>
    </row>
    <row r="452">
      <c r="A452" s="105"/>
    </row>
    <row r="453">
      <c r="A453" s="105"/>
    </row>
    <row r="454">
      <c r="A454" s="105"/>
    </row>
    <row r="455">
      <c r="A455" s="105"/>
    </row>
    <row r="456">
      <c r="A456" s="105"/>
    </row>
    <row r="457">
      <c r="A457" s="105"/>
    </row>
    <row r="458">
      <c r="A458" s="105"/>
    </row>
    <row r="459">
      <c r="A459" s="105"/>
    </row>
    <row r="460">
      <c r="A460" s="105"/>
    </row>
    <row r="461">
      <c r="A461" s="105"/>
    </row>
    <row r="462">
      <c r="A462" s="105"/>
    </row>
    <row r="463">
      <c r="A463" s="105"/>
    </row>
    <row r="464">
      <c r="A464" s="105"/>
    </row>
    <row r="465">
      <c r="A465" s="105"/>
    </row>
    <row r="466">
      <c r="A466" s="105"/>
    </row>
    <row r="467">
      <c r="A467" s="105"/>
    </row>
    <row r="468">
      <c r="A468" s="105"/>
    </row>
    <row r="469">
      <c r="A469" s="105"/>
    </row>
    <row r="470">
      <c r="A470" s="105"/>
    </row>
    <row r="471">
      <c r="A471" s="105"/>
    </row>
    <row r="472">
      <c r="A472" s="105"/>
    </row>
    <row r="473">
      <c r="A473" s="105"/>
    </row>
    <row r="474">
      <c r="A474" s="105"/>
    </row>
    <row r="475">
      <c r="A475" s="105"/>
    </row>
    <row r="476">
      <c r="A476" s="105"/>
    </row>
    <row r="477">
      <c r="A477" s="105"/>
    </row>
    <row r="478">
      <c r="A478" s="105"/>
    </row>
    <row r="479">
      <c r="A479" s="105"/>
    </row>
    <row r="480">
      <c r="A480" s="105"/>
    </row>
    <row r="481">
      <c r="A481" s="105"/>
    </row>
    <row r="482">
      <c r="A482" s="105"/>
    </row>
    <row r="483">
      <c r="A483" s="105"/>
    </row>
    <row r="484">
      <c r="A484" s="105"/>
    </row>
    <row r="485">
      <c r="A485" s="105"/>
    </row>
    <row r="486">
      <c r="A486" s="105"/>
    </row>
    <row r="487">
      <c r="A487" s="105"/>
    </row>
    <row r="488">
      <c r="A488" s="105"/>
    </row>
    <row r="489">
      <c r="A489" s="105"/>
    </row>
    <row r="490">
      <c r="A490" s="105"/>
    </row>
    <row r="491">
      <c r="A491" s="105"/>
    </row>
    <row r="492">
      <c r="A492" s="105"/>
    </row>
    <row r="493">
      <c r="A493" s="105"/>
    </row>
    <row r="494">
      <c r="A494" s="105"/>
    </row>
    <row r="495">
      <c r="A495" s="105"/>
    </row>
    <row r="496">
      <c r="A496" s="105"/>
    </row>
    <row r="497">
      <c r="A497" s="105"/>
    </row>
    <row r="498">
      <c r="A498" s="105"/>
    </row>
    <row r="499">
      <c r="A499" s="105"/>
    </row>
    <row r="500">
      <c r="A500" s="105"/>
    </row>
    <row r="501">
      <c r="A501" s="105"/>
    </row>
    <row r="502">
      <c r="A502" s="105"/>
    </row>
    <row r="503">
      <c r="A503" s="105"/>
    </row>
    <row r="504">
      <c r="A504" s="105"/>
    </row>
    <row r="505">
      <c r="A505" s="105"/>
    </row>
    <row r="506">
      <c r="A506" s="105"/>
    </row>
    <row r="507">
      <c r="A507" s="105"/>
    </row>
    <row r="508">
      <c r="A508" s="105"/>
    </row>
    <row r="509">
      <c r="A509" s="105"/>
    </row>
    <row r="510">
      <c r="A510" s="105"/>
    </row>
    <row r="511">
      <c r="A511" s="105"/>
    </row>
    <row r="512">
      <c r="A512" s="105"/>
    </row>
    <row r="513">
      <c r="A513" s="105"/>
    </row>
    <row r="514">
      <c r="A514" s="105"/>
    </row>
    <row r="515">
      <c r="A515" s="105"/>
    </row>
    <row r="516">
      <c r="A516" s="105"/>
    </row>
    <row r="517">
      <c r="A517" s="105"/>
    </row>
    <row r="518">
      <c r="A518" s="105"/>
    </row>
    <row r="519">
      <c r="A519" s="105"/>
    </row>
    <row r="520">
      <c r="A520" s="105"/>
    </row>
    <row r="521">
      <c r="A521" s="105"/>
    </row>
    <row r="522">
      <c r="A522" s="105"/>
    </row>
    <row r="523">
      <c r="A523" s="105"/>
    </row>
    <row r="524">
      <c r="A524" s="105"/>
    </row>
    <row r="525">
      <c r="A525" s="105"/>
    </row>
    <row r="526">
      <c r="A526" s="105"/>
    </row>
    <row r="527">
      <c r="A527" s="105"/>
    </row>
    <row r="528">
      <c r="A528" s="105"/>
    </row>
    <row r="529">
      <c r="A529" s="105"/>
    </row>
    <row r="530">
      <c r="A530" s="105"/>
    </row>
    <row r="531">
      <c r="A531" s="105"/>
    </row>
    <row r="532">
      <c r="A532" s="105"/>
    </row>
    <row r="533">
      <c r="A533" s="105"/>
    </row>
    <row r="534">
      <c r="A534" s="105"/>
    </row>
    <row r="535">
      <c r="A535" s="105"/>
    </row>
    <row r="536">
      <c r="A536" s="105"/>
    </row>
    <row r="537">
      <c r="A537" s="105"/>
    </row>
    <row r="538">
      <c r="A538" s="105"/>
    </row>
    <row r="539">
      <c r="A539" s="105"/>
    </row>
    <row r="540">
      <c r="A540" s="105"/>
    </row>
    <row r="541">
      <c r="A541" s="105"/>
    </row>
    <row r="542">
      <c r="A542" s="105"/>
    </row>
    <row r="543">
      <c r="A543" s="105"/>
    </row>
    <row r="544">
      <c r="A544" s="105"/>
    </row>
    <row r="545">
      <c r="A545" s="105"/>
    </row>
    <row r="546">
      <c r="A546" s="105"/>
    </row>
    <row r="547">
      <c r="A547" s="105"/>
    </row>
    <row r="548">
      <c r="A548" s="105"/>
    </row>
    <row r="549">
      <c r="A549" s="105"/>
    </row>
    <row r="550">
      <c r="A550" s="105"/>
    </row>
    <row r="551">
      <c r="A551" s="105"/>
    </row>
    <row r="552">
      <c r="A552" s="105"/>
    </row>
    <row r="553">
      <c r="A553" s="105"/>
    </row>
    <row r="554">
      <c r="A554" s="105"/>
    </row>
    <row r="555">
      <c r="A555" s="105"/>
    </row>
    <row r="556">
      <c r="A556" s="105"/>
    </row>
    <row r="557">
      <c r="A557" s="105"/>
    </row>
    <row r="558">
      <c r="A558" s="105"/>
    </row>
    <row r="559">
      <c r="A559" s="105"/>
    </row>
    <row r="560">
      <c r="A560" s="105"/>
    </row>
    <row r="561">
      <c r="A561" s="105"/>
    </row>
    <row r="562">
      <c r="A562" s="105"/>
    </row>
    <row r="563">
      <c r="A563" s="105"/>
    </row>
    <row r="564">
      <c r="A564" s="105"/>
    </row>
    <row r="565">
      <c r="A565" s="105"/>
    </row>
    <row r="566">
      <c r="A566" s="105"/>
    </row>
    <row r="567">
      <c r="A567" s="105"/>
    </row>
    <row r="568">
      <c r="A568" s="105"/>
    </row>
    <row r="569">
      <c r="A569" s="105"/>
    </row>
    <row r="570">
      <c r="A570" s="105"/>
    </row>
    <row r="571">
      <c r="A571" s="105"/>
    </row>
    <row r="572">
      <c r="A572" s="105"/>
    </row>
    <row r="573">
      <c r="A573" s="105"/>
    </row>
    <row r="574">
      <c r="A574" s="105"/>
    </row>
    <row r="575">
      <c r="A575" s="105"/>
    </row>
    <row r="576">
      <c r="A576" s="105"/>
    </row>
    <row r="577">
      <c r="A577" s="105"/>
    </row>
    <row r="578">
      <c r="A578" s="105"/>
    </row>
    <row r="579">
      <c r="A579" s="105"/>
    </row>
    <row r="580">
      <c r="A580" s="105"/>
    </row>
    <row r="581">
      <c r="A581" s="105"/>
    </row>
    <row r="582">
      <c r="A582" s="105"/>
    </row>
    <row r="583">
      <c r="A583" s="105"/>
    </row>
    <row r="584">
      <c r="A584" s="105"/>
    </row>
    <row r="585">
      <c r="A585" s="105"/>
    </row>
    <row r="586">
      <c r="A586" s="105"/>
    </row>
    <row r="587">
      <c r="A587" s="105"/>
    </row>
    <row r="588">
      <c r="A588" s="105"/>
    </row>
    <row r="589">
      <c r="A589" s="105"/>
    </row>
    <row r="590">
      <c r="A590" s="105"/>
    </row>
    <row r="591">
      <c r="A591" s="105"/>
    </row>
    <row r="592">
      <c r="A592" s="105"/>
    </row>
    <row r="593">
      <c r="A593" s="105"/>
    </row>
    <row r="594">
      <c r="A594" s="105"/>
    </row>
    <row r="595">
      <c r="A595" s="105"/>
    </row>
    <row r="596">
      <c r="A596" s="105"/>
    </row>
    <row r="597">
      <c r="A597" s="105"/>
    </row>
    <row r="598">
      <c r="A598" s="105"/>
    </row>
    <row r="599">
      <c r="A599" s="105"/>
    </row>
    <row r="600">
      <c r="A600" s="105"/>
    </row>
    <row r="601">
      <c r="A601" s="105"/>
    </row>
    <row r="602">
      <c r="A602" s="105"/>
    </row>
    <row r="603">
      <c r="A603" s="105"/>
    </row>
    <row r="604">
      <c r="A604" s="105"/>
    </row>
    <row r="605">
      <c r="A605" s="105"/>
    </row>
    <row r="606">
      <c r="A606" s="105"/>
    </row>
    <row r="607">
      <c r="A607" s="105"/>
    </row>
    <row r="608">
      <c r="A608" s="105"/>
    </row>
    <row r="609">
      <c r="A609" s="105"/>
    </row>
    <row r="610">
      <c r="A610" s="105"/>
    </row>
    <row r="611">
      <c r="A611" s="105"/>
    </row>
    <row r="612">
      <c r="A612" s="105"/>
    </row>
    <row r="613">
      <c r="A613" s="105"/>
    </row>
    <row r="614">
      <c r="A614" s="105"/>
    </row>
    <row r="615">
      <c r="A615" s="105"/>
    </row>
    <row r="616">
      <c r="A616" s="105"/>
    </row>
    <row r="617">
      <c r="A617" s="105"/>
    </row>
    <row r="618">
      <c r="A618" s="105"/>
    </row>
    <row r="619">
      <c r="A619" s="105"/>
    </row>
    <row r="620">
      <c r="A620" s="105"/>
    </row>
    <row r="621">
      <c r="A621" s="105"/>
    </row>
    <row r="622">
      <c r="A622" s="105"/>
    </row>
    <row r="623">
      <c r="A623" s="105"/>
    </row>
    <row r="624">
      <c r="A624" s="105"/>
    </row>
    <row r="625">
      <c r="A625" s="105"/>
    </row>
    <row r="626">
      <c r="A626" s="105"/>
    </row>
    <row r="627">
      <c r="A627" s="105"/>
    </row>
    <row r="628">
      <c r="A628" s="105"/>
    </row>
    <row r="629">
      <c r="A629" s="105"/>
    </row>
    <row r="630">
      <c r="A630" s="105"/>
    </row>
    <row r="631">
      <c r="A631" s="105"/>
    </row>
    <row r="632">
      <c r="A632" s="105"/>
    </row>
    <row r="633">
      <c r="A633" s="105"/>
    </row>
    <row r="634">
      <c r="A634" s="105"/>
    </row>
    <row r="635">
      <c r="A635" s="105"/>
    </row>
    <row r="636">
      <c r="A636" s="105"/>
    </row>
    <row r="637">
      <c r="A637" s="105"/>
    </row>
    <row r="638">
      <c r="A638" s="105"/>
    </row>
    <row r="639">
      <c r="A639" s="105"/>
    </row>
    <row r="640">
      <c r="A640" s="105"/>
    </row>
    <row r="641">
      <c r="A641" s="105"/>
    </row>
    <row r="642">
      <c r="A642" s="105"/>
    </row>
    <row r="643">
      <c r="A643" s="105"/>
    </row>
    <row r="644">
      <c r="A644" s="105"/>
    </row>
    <row r="645">
      <c r="A645" s="105"/>
    </row>
    <row r="646">
      <c r="A646" s="105"/>
    </row>
    <row r="647">
      <c r="A647" s="105"/>
    </row>
    <row r="648">
      <c r="A648" s="105"/>
    </row>
    <row r="649">
      <c r="A649" s="105"/>
    </row>
    <row r="650">
      <c r="A650" s="105"/>
    </row>
    <row r="651">
      <c r="A651" s="105"/>
    </row>
    <row r="652">
      <c r="A652" s="105"/>
    </row>
    <row r="653">
      <c r="A653" s="105"/>
    </row>
    <row r="654">
      <c r="A654" s="105"/>
    </row>
    <row r="655">
      <c r="A655" s="105"/>
    </row>
    <row r="656">
      <c r="A656" s="105"/>
    </row>
    <row r="657">
      <c r="A657" s="105"/>
    </row>
    <row r="658">
      <c r="A658" s="105"/>
    </row>
    <row r="659">
      <c r="A659" s="105"/>
    </row>
    <row r="660">
      <c r="A660" s="105"/>
    </row>
    <row r="661">
      <c r="A661" s="105"/>
    </row>
    <row r="662">
      <c r="A662" s="105"/>
    </row>
    <row r="663">
      <c r="A663" s="105"/>
    </row>
    <row r="664">
      <c r="A664" s="105"/>
    </row>
    <row r="665">
      <c r="A665" s="105"/>
    </row>
    <row r="666">
      <c r="A666" s="105"/>
    </row>
    <row r="667">
      <c r="A667" s="105"/>
    </row>
    <row r="668">
      <c r="A668" s="105"/>
    </row>
    <row r="669">
      <c r="A669" s="105"/>
    </row>
    <row r="670">
      <c r="A670" s="105"/>
    </row>
    <row r="671">
      <c r="A671" s="105"/>
    </row>
    <row r="672">
      <c r="A672" s="105"/>
    </row>
    <row r="673">
      <c r="A673" s="105"/>
    </row>
    <row r="674">
      <c r="A674" s="105"/>
    </row>
    <row r="675">
      <c r="A675" s="105"/>
    </row>
    <row r="676">
      <c r="A676" s="105"/>
    </row>
    <row r="677">
      <c r="A677" s="105"/>
    </row>
    <row r="678">
      <c r="A678" s="105"/>
    </row>
    <row r="679">
      <c r="A679" s="105"/>
    </row>
    <row r="680">
      <c r="A680" s="105"/>
    </row>
    <row r="681">
      <c r="A681" s="105"/>
    </row>
    <row r="682">
      <c r="A682" s="105"/>
    </row>
    <row r="683">
      <c r="A683" s="105"/>
    </row>
    <row r="684">
      <c r="A684" s="105"/>
    </row>
    <row r="685">
      <c r="A685" s="105"/>
    </row>
    <row r="686">
      <c r="A686" s="105"/>
    </row>
    <row r="687">
      <c r="A687" s="105"/>
    </row>
    <row r="688">
      <c r="A688" s="105"/>
    </row>
    <row r="689">
      <c r="A689" s="105"/>
    </row>
    <row r="690">
      <c r="A690" s="105"/>
    </row>
    <row r="691">
      <c r="A691" s="105"/>
    </row>
    <row r="692">
      <c r="A692" s="105"/>
    </row>
    <row r="693">
      <c r="A693" s="105"/>
    </row>
    <row r="694">
      <c r="A694" s="105"/>
    </row>
    <row r="695">
      <c r="A695" s="105"/>
    </row>
    <row r="696">
      <c r="A696" s="105"/>
    </row>
    <row r="697">
      <c r="A697" s="105"/>
    </row>
    <row r="698">
      <c r="A698" s="105"/>
    </row>
    <row r="699">
      <c r="A699" s="105"/>
    </row>
    <row r="700">
      <c r="A700" s="105"/>
    </row>
    <row r="701">
      <c r="A701" s="105"/>
    </row>
    <row r="702">
      <c r="A702" s="105"/>
    </row>
    <row r="703">
      <c r="A703" s="105"/>
    </row>
    <row r="704">
      <c r="A704" s="105"/>
    </row>
    <row r="705">
      <c r="A705" s="105"/>
    </row>
    <row r="706">
      <c r="A706" s="105"/>
    </row>
    <row r="707">
      <c r="A707" s="105"/>
    </row>
    <row r="708">
      <c r="A708" s="105"/>
    </row>
    <row r="709">
      <c r="A709" s="105"/>
    </row>
    <row r="710">
      <c r="A710" s="105"/>
    </row>
    <row r="711">
      <c r="A711" s="105"/>
    </row>
    <row r="712">
      <c r="A712" s="105"/>
    </row>
    <row r="713">
      <c r="A713" s="105"/>
    </row>
    <row r="714">
      <c r="A714" s="105"/>
    </row>
    <row r="715">
      <c r="A715" s="105"/>
    </row>
    <row r="716">
      <c r="A716" s="105"/>
    </row>
    <row r="717">
      <c r="A717" s="105"/>
    </row>
    <row r="718">
      <c r="A718" s="105"/>
    </row>
    <row r="719">
      <c r="A719" s="105"/>
    </row>
    <row r="720">
      <c r="A720" s="105"/>
    </row>
    <row r="721">
      <c r="A721" s="105"/>
    </row>
    <row r="722">
      <c r="A722" s="105"/>
    </row>
    <row r="723">
      <c r="A723" s="105"/>
    </row>
    <row r="724">
      <c r="A724" s="105"/>
    </row>
    <row r="725">
      <c r="A725" s="105"/>
    </row>
    <row r="726">
      <c r="A726" s="105"/>
    </row>
    <row r="727">
      <c r="A727" s="105"/>
    </row>
    <row r="728">
      <c r="A728" s="105"/>
    </row>
    <row r="729">
      <c r="A729" s="105"/>
    </row>
    <row r="730">
      <c r="A730" s="105"/>
    </row>
    <row r="731">
      <c r="A731" s="105"/>
    </row>
    <row r="732">
      <c r="A732" s="105"/>
    </row>
    <row r="733">
      <c r="A733" s="105"/>
    </row>
    <row r="734">
      <c r="A734" s="105"/>
    </row>
    <row r="735">
      <c r="A735" s="105"/>
    </row>
    <row r="736">
      <c r="A736" s="105"/>
    </row>
    <row r="737">
      <c r="A737" s="105"/>
    </row>
    <row r="738">
      <c r="A738" s="105"/>
    </row>
    <row r="739">
      <c r="A739" s="105"/>
    </row>
    <row r="740">
      <c r="A740" s="105"/>
    </row>
    <row r="741">
      <c r="A741" s="105"/>
    </row>
    <row r="742">
      <c r="A742" s="105"/>
    </row>
    <row r="743">
      <c r="A743" s="105"/>
    </row>
    <row r="744">
      <c r="A744" s="105"/>
    </row>
    <row r="745">
      <c r="A745" s="105"/>
    </row>
    <row r="746">
      <c r="A746" s="105"/>
    </row>
    <row r="747">
      <c r="A747" s="105"/>
    </row>
    <row r="748">
      <c r="A748" s="105"/>
    </row>
    <row r="749">
      <c r="A749" s="105"/>
    </row>
    <row r="750">
      <c r="A750" s="105"/>
    </row>
    <row r="751">
      <c r="A751" s="105"/>
    </row>
    <row r="752">
      <c r="A752" s="105"/>
    </row>
    <row r="753">
      <c r="A753" s="105"/>
    </row>
    <row r="754">
      <c r="A754" s="105"/>
    </row>
    <row r="755">
      <c r="A755" s="105"/>
    </row>
    <row r="756">
      <c r="A756" s="105"/>
    </row>
    <row r="757">
      <c r="A757" s="105"/>
    </row>
    <row r="758">
      <c r="A758" s="105"/>
    </row>
    <row r="759">
      <c r="A759" s="105"/>
    </row>
    <row r="760">
      <c r="A760" s="105"/>
    </row>
    <row r="761">
      <c r="A761" s="105"/>
    </row>
    <row r="762">
      <c r="A762" s="105"/>
    </row>
    <row r="763">
      <c r="A763" s="105"/>
    </row>
    <row r="764">
      <c r="A764" s="105"/>
    </row>
    <row r="765">
      <c r="A765" s="105"/>
    </row>
    <row r="766">
      <c r="A766" s="105"/>
    </row>
    <row r="767">
      <c r="A767" s="105"/>
    </row>
    <row r="768">
      <c r="A768" s="105"/>
    </row>
    <row r="769">
      <c r="A769" s="105"/>
    </row>
    <row r="770">
      <c r="A770" s="105"/>
    </row>
    <row r="771">
      <c r="A771" s="105"/>
    </row>
    <row r="772">
      <c r="A772" s="105"/>
    </row>
    <row r="773">
      <c r="A773" s="105"/>
    </row>
    <row r="774">
      <c r="A774" s="105"/>
    </row>
    <row r="775">
      <c r="A775" s="105"/>
    </row>
    <row r="776">
      <c r="A776" s="105"/>
    </row>
    <row r="777">
      <c r="A777" s="105"/>
    </row>
    <row r="778">
      <c r="A778" s="105"/>
    </row>
    <row r="779">
      <c r="A779" s="105"/>
    </row>
    <row r="780">
      <c r="A780" s="105"/>
    </row>
    <row r="781">
      <c r="A781" s="105"/>
    </row>
    <row r="782">
      <c r="A782" s="105"/>
    </row>
    <row r="783">
      <c r="A783" s="105"/>
    </row>
    <row r="784">
      <c r="A784" s="105"/>
    </row>
    <row r="785">
      <c r="A785" s="105"/>
    </row>
    <row r="786">
      <c r="A786" s="105"/>
    </row>
    <row r="787">
      <c r="A787" s="105"/>
    </row>
    <row r="788">
      <c r="A788" s="105"/>
    </row>
    <row r="789">
      <c r="A789" s="105"/>
    </row>
    <row r="790">
      <c r="A790" s="105"/>
    </row>
    <row r="791">
      <c r="A791" s="105"/>
    </row>
    <row r="792">
      <c r="A792" s="105"/>
    </row>
    <row r="793">
      <c r="A793" s="105"/>
    </row>
    <row r="794">
      <c r="A794" s="105"/>
    </row>
    <row r="795">
      <c r="A795" s="105"/>
    </row>
    <row r="796">
      <c r="A796" s="105"/>
    </row>
    <row r="797">
      <c r="A797" s="105"/>
    </row>
    <row r="798">
      <c r="A798" s="105"/>
    </row>
    <row r="799">
      <c r="A799" s="105"/>
    </row>
    <row r="800">
      <c r="A800" s="105"/>
    </row>
    <row r="801">
      <c r="A801" s="105"/>
    </row>
    <row r="802">
      <c r="A802" s="105"/>
    </row>
    <row r="803">
      <c r="A803" s="105"/>
    </row>
    <row r="804">
      <c r="A804" s="105"/>
    </row>
    <row r="805">
      <c r="A805" s="105"/>
    </row>
    <row r="806">
      <c r="A806" s="105"/>
    </row>
    <row r="807">
      <c r="A807" s="105"/>
    </row>
    <row r="808">
      <c r="A808" s="105"/>
    </row>
    <row r="809">
      <c r="A809" s="105"/>
    </row>
    <row r="810">
      <c r="A810" s="105"/>
    </row>
    <row r="811">
      <c r="A811" s="105"/>
    </row>
    <row r="812">
      <c r="A812" s="105"/>
    </row>
    <row r="813">
      <c r="A813" s="105"/>
    </row>
    <row r="814">
      <c r="A814" s="105"/>
    </row>
    <row r="815">
      <c r="A815" s="105"/>
    </row>
    <row r="816">
      <c r="A816" s="105"/>
    </row>
    <row r="817">
      <c r="A817" s="105"/>
    </row>
    <row r="818">
      <c r="A818" s="105"/>
    </row>
    <row r="819">
      <c r="A819" s="105"/>
    </row>
    <row r="820">
      <c r="A820" s="105"/>
    </row>
    <row r="821">
      <c r="A821" s="105"/>
    </row>
    <row r="822">
      <c r="A822" s="105"/>
    </row>
    <row r="823">
      <c r="A823" s="105"/>
    </row>
    <row r="824">
      <c r="A824" s="105"/>
    </row>
    <row r="825">
      <c r="A825" s="105"/>
    </row>
    <row r="826">
      <c r="A826" s="105"/>
    </row>
    <row r="827">
      <c r="A827" s="105"/>
    </row>
    <row r="828">
      <c r="A828" s="105"/>
    </row>
    <row r="829">
      <c r="A829" s="105"/>
    </row>
    <row r="830">
      <c r="A830" s="105"/>
    </row>
    <row r="831">
      <c r="A831" s="105"/>
    </row>
    <row r="832">
      <c r="A832" s="105"/>
    </row>
    <row r="833">
      <c r="A833" s="105"/>
    </row>
    <row r="834">
      <c r="A834" s="105"/>
    </row>
    <row r="835">
      <c r="A835" s="105"/>
    </row>
    <row r="836">
      <c r="A836" s="105"/>
    </row>
    <row r="837">
      <c r="A837" s="105"/>
    </row>
    <row r="838">
      <c r="A838" s="105"/>
    </row>
    <row r="839">
      <c r="A839" s="105"/>
    </row>
    <row r="840">
      <c r="A840" s="105"/>
    </row>
    <row r="841">
      <c r="A841" s="105"/>
    </row>
    <row r="842">
      <c r="A842" s="105"/>
    </row>
    <row r="843">
      <c r="A843" s="105"/>
    </row>
    <row r="844">
      <c r="A844" s="105"/>
    </row>
    <row r="845">
      <c r="A845" s="105"/>
    </row>
    <row r="846">
      <c r="A846" s="105"/>
    </row>
    <row r="847">
      <c r="A847" s="105"/>
    </row>
    <row r="848">
      <c r="A848" s="105"/>
    </row>
    <row r="849">
      <c r="A849" s="105"/>
    </row>
    <row r="850">
      <c r="A850" s="105"/>
    </row>
    <row r="851">
      <c r="A851" s="105"/>
    </row>
    <row r="852">
      <c r="A852" s="105"/>
    </row>
    <row r="853">
      <c r="A853" s="105"/>
    </row>
    <row r="854">
      <c r="A854" s="105"/>
    </row>
    <row r="855">
      <c r="A855" s="105"/>
    </row>
    <row r="856">
      <c r="A856" s="105"/>
    </row>
    <row r="857">
      <c r="A857" s="105"/>
    </row>
    <row r="858">
      <c r="A858" s="105"/>
    </row>
    <row r="859">
      <c r="A859" s="105"/>
    </row>
    <row r="860">
      <c r="A860" s="105"/>
    </row>
    <row r="861">
      <c r="A861" s="105"/>
    </row>
    <row r="862">
      <c r="A862" s="105"/>
    </row>
    <row r="863">
      <c r="A863" s="105"/>
    </row>
    <row r="864">
      <c r="A864" s="105"/>
    </row>
    <row r="865">
      <c r="A865" s="105"/>
    </row>
    <row r="866">
      <c r="A866" s="105"/>
    </row>
    <row r="867">
      <c r="A867" s="105"/>
    </row>
  </sheetData>
  <mergeCells count="11">
    <mergeCell ref="A29:Q33"/>
    <mergeCell ref="A34:Q34"/>
    <mergeCell ref="A35:Q35"/>
    <mergeCell ref="B38:E38"/>
    <mergeCell ref="D1:J2"/>
    <mergeCell ref="O2:P2"/>
    <mergeCell ref="D3:J4"/>
    <mergeCell ref="O3:P3"/>
    <mergeCell ref="O4:P4"/>
    <mergeCell ref="F8:M8"/>
    <mergeCell ref="A16:H1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5" width="6.88"/>
    <col customWidth="1" min="6" max="6" width="5.63"/>
    <col customWidth="1" min="7" max="7" width="8.88"/>
    <col customWidth="1" min="8" max="8" width="5.25"/>
    <col customWidth="1" min="9" max="10" width="3.88"/>
    <col customWidth="1" min="11" max="26" width="3.38"/>
    <col customWidth="1" min="27" max="30" width="3.63"/>
  </cols>
  <sheetData>
    <row r="1" ht="21.0" customHeight="1">
      <c r="A1" s="106"/>
      <c r="B1" s="103"/>
      <c r="C1" s="107"/>
      <c r="D1" s="108" t="s">
        <v>83</v>
      </c>
      <c r="K1" s="106"/>
      <c r="L1" s="103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ht="21.0" customHeight="1">
      <c r="A2" s="106"/>
      <c r="B2" s="103"/>
      <c r="C2" s="107"/>
      <c r="K2" s="103"/>
      <c r="L2" s="103"/>
      <c r="M2" s="2"/>
      <c r="N2" s="2"/>
      <c r="O2" s="2"/>
      <c r="P2" s="2"/>
      <c r="Q2" s="103"/>
      <c r="R2" s="2"/>
      <c r="S2" s="103"/>
      <c r="T2" s="109" t="s">
        <v>4</v>
      </c>
      <c r="U2" s="110">
        <v>44265.0</v>
      </c>
      <c r="Y2" s="110"/>
      <c r="Z2" s="110"/>
      <c r="AA2" s="110"/>
      <c r="AB2" s="110"/>
      <c r="AC2" s="110"/>
      <c r="AD2" s="110"/>
    </row>
    <row r="3" ht="21.0" customHeight="1">
      <c r="A3" s="111"/>
      <c r="B3" s="103"/>
      <c r="C3" s="112"/>
      <c r="D3" s="113" t="s">
        <v>84</v>
      </c>
      <c r="Q3" s="106"/>
      <c r="R3" s="2"/>
      <c r="S3" s="114"/>
      <c r="T3" s="115" t="s">
        <v>5</v>
      </c>
      <c r="U3" s="110">
        <v>44272.0</v>
      </c>
      <c r="Y3" s="116"/>
      <c r="Z3" s="116"/>
      <c r="AA3" s="116"/>
      <c r="AB3" s="116"/>
      <c r="AC3" s="116"/>
      <c r="AD3" s="116"/>
    </row>
    <row r="4" ht="21.0" customHeight="1">
      <c r="A4" s="111"/>
      <c r="B4" s="117"/>
      <c r="C4" s="112"/>
      <c r="Q4" s="103"/>
      <c r="R4" s="2"/>
      <c r="S4" s="103"/>
      <c r="T4" s="109" t="s">
        <v>1</v>
      </c>
      <c r="U4" s="108" t="s">
        <v>85</v>
      </c>
      <c r="Y4" s="107"/>
      <c r="Z4" s="107"/>
      <c r="AA4" s="107"/>
      <c r="AB4" s="107"/>
      <c r="AC4" s="107"/>
      <c r="AD4" s="107"/>
    </row>
    <row r="5" ht="21.0" customHeight="1">
      <c r="A5" s="106"/>
      <c r="B5" s="117"/>
      <c r="C5" s="112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</row>
    <row r="6" ht="15.75" customHeight="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</row>
    <row r="7" ht="15.75" customHeight="1">
      <c r="T7" s="119"/>
      <c r="U7" s="96" t="s">
        <v>86</v>
      </c>
      <c r="W7" s="2"/>
      <c r="X7" s="96" t="s">
        <v>87</v>
      </c>
      <c r="Y7" s="120"/>
      <c r="Z7" s="96" t="s">
        <v>88</v>
      </c>
      <c r="AB7" s="121"/>
      <c r="AC7" s="121"/>
      <c r="AD7" s="121"/>
    </row>
    <row r="8" ht="15.75" customHeight="1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122"/>
      <c r="AB8" s="122"/>
      <c r="AC8" s="122"/>
      <c r="AD8" s="122"/>
    </row>
    <row r="9" ht="15.75" customHeight="1">
      <c r="A9" s="123" t="s">
        <v>89</v>
      </c>
      <c r="B9" s="124" t="s">
        <v>90</v>
      </c>
      <c r="K9" s="125" t="s">
        <v>91</v>
      </c>
      <c r="L9" s="126"/>
      <c r="M9" s="126"/>
      <c r="N9" s="127"/>
      <c r="O9" s="125" t="s">
        <v>92</v>
      </c>
      <c r="P9" s="126"/>
      <c r="Q9" s="126"/>
      <c r="R9" s="127"/>
      <c r="S9" s="125" t="s">
        <v>93</v>
      </c>
      <c r="T9" s="126"/>
      <c r="U9" s="126"/>
      <c r="V9" s="127"/>
      <c r="W9" s="125" t="s">
        <v>93</v>
      </c>
      <c r="X9" s="126"/>
      <c r="Y9" s="126"/>
      <c r="Z9" s="127"/>
      <c r="AA9" s="128"/>
      <c r="AB9" s="128"/>
      <c r="AC9" s="128"/>
      <c r="AD9" s="128"/>
    </row>
    <row r="10">
      <c r="A10" s="129"/>
      <c r="B10" s="130"/>
      <c r="F10" s="131"/>
      <c r="G10" s="132"/>
      <c r="H10" s="132"/>
      <c r="I10" s="132"/>
      <c r="J10" s="132"/>
      <c r="K10" s="133">
        <v>1.0</v>
      </c>
      <c r="L10" s="134">
        <v>2.0</v>
      </c>
      <c r="M10" s="134">
        <v>3.0</v>
      </c>
      <c r="N10" s="135">
        <v>4.0</v>
      </c>
      <c r="O10" s="133">
        <v>1.0</v>
      </c>
      <c r="P10" s="134">
        <v>2.0</v>
      </c>
      <c r="Q10" s="134">
        <v>3.0</v>
      </c>
      <c r="R10" s="135">
        <v>4.0</v>
      </c>
      <c r="S10" s="133">
        <v>1.0</v>
      </c>
      <c r="T10" s="134">
        <v>2.0</v>
      </c>
      <c r="U10" s="134">
        <v>3.0</v>
      </c>
      <c r="V10" s="135">
        <v>4.0</v>
      </c>
      <c r="W10" s="133">
        <v>1.0</v>
      </c>
      <c r="X10" s="134">
        <v>2.0</v>
      </c>
      <c r="Y10" s="134">
        <v>3.0</v>
      </c>
      <c r="Z10" s="135">
        <v>4.0</v>
      </c>
      <c r="AA10" s="128"/>
      <c r="AB10" s="128"/>
      <c r="AC10" s="128"/>
      <c r="AD10" s="128"/>
    </row>
    <row r="11" ht="20.25" customHeight="1">
      <c r="A11" s="136" t="s">
        <v>94</v>
      </c>
      <c r="B11" s="137" t="s">
        <v>95</v>
      </c>
      <c r="C11" s="138"/>
      <c r="D11" s="138"/>
      <c r="E11" s="138"/>
      <c r="F11" s="138"/>
      <c r="G11" s="138"/>
      <c r="H11" s="138"/>
      <c r="I11" s="138"/>
      <c r="J11" s="138"/>
      <c r="K11" s="139"/>
      <c r="L11" s="140"/>
      <c r="M11" s="141"/>
      <c r="N11" s="142"/>
      <c r="O11" s="143"/>
      <c r="P11" s="141"/>
      <c r="Q11" s="141"/>
      <c r="R11" s="142"/>
      <c r="S11" s="143"/>
      <c r="T11" s="141"/>
      <c r="U11" s="141"/>
      <c r="V11" s="142"/>
      <c r="W11" s="143"/>
      <c r="X11" s="141"/>
      <c r="Y11" s="141"/>
      <c r="Z11" s="142"/>
      <c r="AA11" s="128"/>
      <c r="AB11" s="128"/>
      <c r="AC11" s="128"/>
      <c r="AD11" s="128"/>
    </row>
    <row r="12" ht="20.25" customHeight="1">
      <c r="A12" s="144"/>
      <c r="B12" s="145" t="s">
        <v>96</v>
      </c>
      <c r="C12" s="138"/>
      <c r="D12" s="138"/>
      <c r="E12" s="138"/>
      <c r="F12" s="138"/>
      <c r="G12" s="138"/>
      <c r="H12" s="138"/>
      <c r="I12" s="138"/>
      <c r="J12" s="146"/>
      <c r="K12" s="143"/>
      <c r="L12" s="120"/>
      <c r="M12" s="147"/>
      <c r="N12" s="148"/>
      <c r="O12" s="149"/>
      <c r="P12" s="147"/>
      <c r="Q12" s="147"/>
      <c r="R12" s="148"/>
      <c r="S12" s="149"/>
      <c r="T12" s="147"/>
      <c r="U12" s="147"/>
      <c r="V12" s="148"/>
      <c r="W12" s="149"/>
      <c r="X12" s="147"/>
      <c r="Y12" s="147"/>
      <c r="Z12" s="148"/>
      <c r="AA12" s="128"/>
      <c r="AB12" s="128"/>
      <c r="AC12" s="128"/>
      <c r="AD12" s="128"/>
    </row>
    <row r="13" ht="20.25" customHeight="1">
      <c r="A13" s="144"/>
      <c r="B13" s="145" t="s">
        <v>97</v>
      </c>
      <c r="C13" s="138"/>
      <c r="D13" s="138"/>
      <c r="E13" s="138"/>
      <c r="F13" s="138"/>
      <c r="G13" s="138"/>
      <c r="H13" s="138"/>
      <c r="I13" s="138"/>
      <c r="J13" s="146"/>
      <c r="K13" s="149"/>
      <c r="L13" s="150"/>
      <c r="M13" s="150"/>
      <c r="N13" s="148"/>
      <c r="O13" s="149"/>
      <c r="P13" s="147"/>
      <c r="Q13" s="147"/>
      <c r="R13" s="148"/>
      <c r="S13" s="149"/>
      <c r="T13" s="147"/>
      <c r="U13" s="147"/>
      <c r="V13" s="148"/>
      <c r="W13" s="149"/>
      <c r="X13" s="147"/>
      <c r="Y13" s="147"/>
      <c r="Z13" s="148"/>
      <c r="AA13" s="128"/>
      <c r="AB13" s="128"/>
      <c r="AC13" s="128"/>
      <c r="AD13" s="128"/>
    </row>
    <row r="14" ht="20.25" customHeight="1">
      <c r="A14" s="144"/>
      <c r="B14" s="145" t="s">
        <v>98</v>
      </c>
      <c r="C14" s="138"/>
      <c r="D14" s="138"/>
      <c r="E14" s="138"/>
      <c r="F14" s="138"/>
      <c r="G14" s="138"/>
      <c r="H14" s="138"/>
      <c r="I14" s="138"/>
      <c r="J14" s="146"/>
      <c r="K14" s="149"/>
      <c r="L14" s="147"/>
      <c r="M14" s="120"/>
      <c r="N14" s="148"/>
      <c r="O14" s="149"/>
      <c r="P14" s="147"/>
      <c r="Q14" s="147"/>
      <c r="R14" s="148"/>
      <c r="S14" s="149"/>
      <c r="T14" s="147"/>
      <c r="U14" s="147"/>
      <c r="V14" s="148"/>
      <c r="W14" s="149"/>
      <c r="X14" s="147"/>
      <c r="Y14" s="147"/>
      <c r="Z14" s="148"/>
      <c r="AA14" s="128"/>
      <c r="AB14" s="128"/>
      <c r="AC14" s="128"/>
      <c r="AD14" s="128"/>
    </row>
    <row r="15" ht="20.25" customHeight="1">
      <c r="A15" s="144"/>
      <c r="B15" s="151" t="s">
        <v>99</v>
      </c>
      <c r="C15" s="138"/>
      <c r="D15" s="138"/>
      <c r="E15" s="138"/>
      <c r="F15" s="138"/>
      <c r="G15" s="138"/>
      <c r="H15" s="138"/>
      <c r="I15" s="138"/>
      <c r="J15" s="138"/>
      <c r="K15" s="149"/>
      <c r="L15" s="147"/>
      <c r="M15" s="147"/>
      <c r="N15" s="152"/>
      <c r="O15" s="149"/>
      <c r="P15" s="147"/>
      <c r="Q15" s="147"/>
      <c r="R15" s="148"/>
      <c r="S15" s="149"/>
      <c r="T15" s="147"/>
      <c r="U15" s="147"/>
      <c r="V15" s="148"/>
      <c r="W15" s="149"/>
      <c r="X15" s="147"/>
      <c r="Y15" s="147"/>
      <c r="Z15" s="148"/>
      <c r="AA15" s="128"/>
      <c r="AB15" s="128"/>
      <c r="AC15" s="128"/>
      <c r="AD15" s="128"/>
    </row>
    <row r="16" ht="20.25" customHeight="1">
      <c r="A16" s="144"/>
      <c r="B16" s="151" t="s">
        <v>100</v>
      </c>
      <c r="C16" s="138"/>
      <c r="D16" s="138"/>
      <c r="E16" s="138"/>
      <c r="F16" s="138"/>
      <c r="G16" s="138"/>
      <c r="H16" s="138"/>
      <c r="I16" s="138"/>
      <c r="J16" s="138"/>
      <c r="K16" s="149"/>
      <c r="L16" s="147"/>
      <c r="M16" s="153"/>
      <c r="N16" s="154"/>
      <c r="O16" s="155"/>
      <c r="P16" s="147"/>
      <c r="Q16" s="147"/>
      <c r="R16" s="148"/>
      <c r="S16" s="149"/>
      <c r="T16" s="147"/>
      <c r="U16" s="147"/>
      <c r="V16" s="148"/>
      <c r="W16" s="149"/>
      <c r="X16" s="147"/>
      <c r="Y16" s="147"/>
      <c r="Z16" s="148"/>
      <c r="AA16" s="128"/>
      <c r="AB16" s="128"/>
      <c r="AC16" s="128"/>
      <c r="AD16" s="128"/>
    </row>
    <row r="17" ht="20.25" customHeight="1">
      <c r="A17" s="144"/>
      <c r="B17" s="151" t="s">
        <v>101</v>
      </c>
      <c r="C17" s="138"/>
      <c r="D17" s="138"/>
      <c r="E17" s="138"/>
      <c r="F17" s="138"/>
      <c r="G17" s="138"/>
      <c r="H17" s="138"/>
      <c r="I17" s="138"/>
      <c r="J17" s="138"/>
      <c r="K17" s="149"/>
      <c r="L17" s="147"/>
      <c r="M17" s="147"/>
      <c r="N17" s="156"/>
      <c r="O17" s="157"/>
      <c r="P17" s="147"/>
      <c r="Q17" s="147"/>
      <c r="R17" s="148"/>
      <c r="S17" s="149"/>
      <c r="T17" s="147"/>
      <c r="U17" s="147"/>
      <c r="V17" s="148"/>
      <c r="W17" s="149"/>
      <c r="X17" s="147"/>
      <c r="Y17" s="147"/>
      <c r="Z17" s="148"/>
      <c r="AA17" s="128"/>
      <c r="AB17" s="128"/>
      <c r="AC17" s="128"/>
      <c r="AD17" s="128"/>
    </row>
    <row r="18" ht="20.25" customHeight="1">
      <c r="A18" s="144"/>
      <c r="B18" s="151" t="s">
        <v>102</v>
      </c>
      <c r="C18" s="138"/>
      <c r="D18" s="138"/>
      <c r="E18" s="138"/>
      <c r="F18" s="138"/>
      <c r="G18" s="138"/>
      <c r="H18" s="138"/>
      <c r="I18" s="138"/>
      <c r="J18" s="138"/>
      <c r="K18" s="149"/>
      <c r="L18" s="147"/>
      <c r="M18" s="147"/>
      <c r="N18" s="148"/>
      <c r="O18" s="120"/>
      <c r="P18" s="147"/>
      <c r="Q18" s="147"/>
      <c r="R18" s="148"/>
      <c r="S18" s="149"/>
      <c r="T18" s="147"/>
      <c r="U18" s="147"/>
      <c r="V18" s="148"/>
      <c r="W18" s="149"/>
      <c r="X18" s="147"/>
      <c r="Y18" s="147"/>
      <c r="Z18" s="148"/>
      <c r="AA18" s="128"/>
      <c r="AB18" s="128"/>
      <c r="AC18" s="128"/>
      <c r="AD18" s="128"/>
    </row>
    <row r="19" ht="20.25" customHeight="1">
      <c r="A19" s="144"/>
      <c r="B19" s="151" t="s">
        <v>103</v>
      </c>
      <c r="C19" s="138"/>
      <c r="D19" s="138"/>
      <c r="E19" s="138"/>
      <c r="F19" s="138"/>
      <c r="G19" s="138"/>
      <c r="H19" s="138"/>
      <c r="I19" s="138"/>
      <c r="J19" s="138"/>
      <c r="K19" s="149"/>
      <c r="L19" s="147"/>
      <c r="M19" s="147"/>
      <c r="N19" s="148"/>
      <c r="O19" s="158"/>
      <c r="P19" s="157"/>
      <c r="Q19" s="147"/>
      <c r="R19" s="148"/>
      <c r="S19" s="149"/>
      <c r="T19" s="147"/>
      <c r="U19" s="147"/>
      <c r="V19" s="148"/>
      <c r="W19" s="149"/>
      <c r="X19" s="147"/>
      <c r="Y19" s="147"/>
      <c r="Z19" s="148"/>
      <c r="AA19" s="128"/>
      <c r="AB19" s="128"/>
      <c r="AC19" s="128"/>
      <c r="AD19" s="128"/>
    </row>
    <row r="20" ht="20.25" customHeight="1">
      <c r="A20" s="144"/>
      <c r="B20" s="151" t="s">
        <v>104</v>
      </c>
      <c r="C20" s="138"/>
      <c r="D20" s="138"/>
      <c r="E20" s="138"/>
      <c r="F20" s="138"/>
      <c r="G20" s="138"/>
      <c r="H20" s="138"/>
      <c r="I20" s="138"/>
      <c r="J20" s="138"/>
      <c r="K20" s="149"/>
      <c r="L20" s="147"/>
      <c r="M20" s="147"/>
      <c r="N20" s="148"/>
      <c r="O20" s="149"/>
      <c r="P20" s="120"/>
      <c r="Q20" s="147"/>
      <c r="R20" s="148"/>
      <c r="S20" s="149"/>
      <c r="T20" s="147"/>
      <c r="U20" s="147"/>
      <c r="V20" s="148"/>
      <c r="W20" s="149"/>
      <c r="X20" s="147"/>
      <c r="Y20" s="147"/>
      <c r="Z20" s="148"/>
      <c r="AA20" s="128"/>
      <c r="AB20" s="128"/>
      <c r="AC20" s="128"/>
      <c r="AD20" s="128"/>
    </row>
    <row r="21" ht="20.25" customHeight="1">
      <c r="A21" s="144"/>
      <c r="B21" s="159" t="s">
        <v>105</v>
      </c>
      <c r="C21" s="160"/>
      <c r="D21" s="160"/>
      <c r="E21" s="160"/>
      <c r="F21" s="160"/>
      <c r="G21" s="160"/>
      <c r="H21" s="160"/>
      <c r="I21" s="160"/>
      <c r="J21" s="160"/>
      <c r="K21" s="161"/>
      <c r="L21" s="162"/>
      <c r="M21" s="163"/>
      <c r="N21" s="164"/>
      <c r="O21" s="165"/>
      <c r="P21" s="2"/>
      <c r="Q21" s="162"/>
      <c r="R21" s="166"/>
      <c r="S21" s="161"/>
      <c r="T21" s="162"/>
      <c r="U21" s="162"/>
      <c r="V21" s="166"/>
      <c r="W21" s="161"/>
      <c r="X21" s="162"/>
      <c r="Y21" s="162"/>
      <c r="Z21" s="166"/>
      <c r="AA21" s="128"/>
      <c r="AB21" s="128"/>
      <c r="AC21" s="128"/>
      <c r="AD21" s="128"/>
    </row>
    <row r="22" ht="20.25" customHeight="1">
      <c r="A22" s="167" t="s">
        <v>106</v>
      </c>
      <c r="B22" s="168" t="s">
        <v>107</v>
      </c>
      <c r="C22" s="169"/>
      <c r="D22" s="169"/>
      <c r="E22" s="169"/>
      <c r="F22" s="169"/>
      <c r="G22" s="169"/>
      <c r="H22" s="169"/>
      <c r="I22" s="169"/>
      <c r="J22" s="169"/>
      <c r="K22" s="170"/>
      <c r="L22" s="171"/>
      <c r="M22" s="172"/>
      <c r="N22" s="173"/>
      <c r="O22" s="174"/>
      <c r="P22" s="175"/>
      <c r="Q22" s="171"/>
      <c r="R22" s="176"/>
      <c r="S22" s="170"/>
      <c r="T22" s="171"/>
      <c r="U22" s="171"/>
      <c r="V22" s="176"/>
      <c r="W22" s="170"/>
      <c r="X22" s="171"/>
      <c r="Y22" s="171"/>
      <c r="Z22" s="176"/>
      <c r="AA22" s="128"/>
      <c r="AB22" s="128"/>
      <c r="AC22" s="128"/>
      <c r="AD22" s="128"/>
    </row>
    <row r="23" ht="20.25" customHeight="1">
      <c r="A23" s="144"/>
      <c r="B23" s="177" t="s">
        <v>108</v>
      </c>
      <c r="C23" s="138"/>
      <c r="D23" s="138"/>
      <c r="E23" s="138"/>
      <c r="F23" s="138"/>
      <c r="G23" s="138"/>
      <c r="H23" s="138"/>
      <c r="I23" s="138"/>
      <c r="J23" s="138"/>
      <c r="K23" s="149"/>
      <c r="L23" s="147"/>
      <c r="M23" s="147"/>
      <c r="N23" s="142"/>
      <c r="O23" s="149"/>
      <c r="P23" s="120"/>
      <c r="Q23" s="147"/>
      <c r="R23" s="148"/>
      <c r="S23" s="149"/>
      <c r="T23" s="147"/>
      <c r="U23" s="147"/>
      <c r="V23" s="148"/>
      <c r="W23" s="149"/>
      <c r="X23" s="147"/>
      <c r="Y23" s="147"/>
      <c r="Z23" s="148"/>
      <c r="AA23" s="128"/>
      <c r="AB23" s="128"/>
      <c r="AC23" s="128"/>
      <c r="AD23" s="128"/>
    </row>
    <row r="24" ht="20.25" customHeight="1">
      <c r="A24" s="144"/>
      <c r="B24" s="177" t="s">
        <v>109</v>
      </c>
      <c r="C24" s="138"/>
      <c r="D24" s="138"/>
      <c r="E24" s="138"/>
      <c r="F24" s="138"/>
      <c r="G24" s="138"/>
      <c r="H24" s="138"/>
      <c r="I24" s="138"/>
      <c r="J24" s="138"/>
      <c r="K24" s="149"/>
      <c r="L24" s="147"/>
      <c r="M24" s="147"/>
      <c r="N24" s="148"/>
      <c r="O24" s="149"/>
      <c r="P24" s="147"/>
      <c r="Q24" s="2"/>
      <c r="R24" s="2"/>
      <c r="S24" s="2"/>
      <c r="T24" s="2"/>
      <c r="U24" s="2"/>
      <c r="V24" s="2"/>
      <c r="W24" s="2"/>
      <c r="X24" s="2"/>
      <c r="Y24" s="2"/>
      <c r="Z24" s="2"/>
      <c r="AA24" s="128"/>
      <c r="AB24" s="128"/>
      <c r="AC24" s="128"/>
      <c r="AD24" s="128"/>
    </row>
    <row r="25" ht="20.25" customHeight="1">
      <c r="A25" s="144"/>
      <c r="B25" s="177" t="s">
        <v>110</v>
      </c>
      <c r="C25" s="138"/>
      <c r="D25" s="138"/>
      <c r="E25" s="138"/>
      <c r="F25" s="138"/>
      <c r="G25" s="138"/>
      <c r="H25" s="138"/>
      <c r="I25" s="138"/>
      <c r="J25" s="138"/>
      <c r="K25" s="149"/>
      <c r="L25" s="147"/>
      <c r="M25" s="147"/>
      <c r="N25" s="148"/>
      <c r="O25" s="149"/>
      <c r="P25" s="147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28"/>
      <c r="AB25" s="128"/>
      <c r="AC25" s="128"/>
      <c r="AD25" s="128"/>
    </row>
    <row r="26" ht="20.25" customHeight="1">
      <c r="A26" s="144"/>
      <c r="B26" s="177" t="s">
        <v>111</v>
      </c>
      <c r="C26" s="138"/>
      <c r="D26" s="138"/>
      <c r="E26" s="138"/>
      <c r="F26" s="138"/>
      <c r="G26" s="138"/>
      <c r="H26" s="138"/>
      <c r="I26" s="138"/>
      <c r="J26" s="138"/>
      <c r="K26" s="149"/>
      <c r="L26" s="147"/>
      <c r="M26" s="147"/>
      <c r="N26" s="148"/>
      <c r="O26" s="149"/>
      <c r="P26" s="147"/>
      <c r="Q26" s="2"/>
      <c r="R26" s="2"/>
      <c r="S26" s="2"/>
      <c r="T26" s="2"/>
      <c r="U26" s="2"/>
      <c r="V26" s="2"/>
      <c r="W26" s="2"/>
      <c r="X26" s="2"/>
      <c r="Y26" s="2"/>
      <c r="Z26" s="2"/>
      <c r="AA26" s="128"/>
      <c r="AB26" s="128"/>
      <c r="AC26" s="128"/>
      <c r="AD26" s="128"/>
    </row>
    <row r="27" ht="20.25" customHeight="1">
      <c r="A27" s="144"/>
      <c r="B27" s="177" t="s">
        <v>112</v>
      </c>
      <c r="C27" s="138"/>
      <c r="D27" s="138"/>
      <c r="E27" s="138"/>
      <c r="F27" s="138"/>
      <c r="G27" s="138"/>
      <c r="H27" s="138"/>
      <c r="I27" s="138"/>
      <c r="J27" s="138"/>
      <c r="K27" s="149"/>
      <c r="L27" s="147"/>
      <c r="M27" s="147"/>
      <c r="N27" s="148"/>
      <c r="O27" s="157"/>
      <c r="P27" s="147"/>
      <c r="Q27" s="147"/>
      <c r="R27" s="148"/>
      <c r="S27" s="149"/>
      <c r="T27" s="147"/>
      <c r="U27" s="147"/>
      <c r="V27" s="148"/>
      <c r="W27" s="149"/>
      <c r="X27" s="147"/>
      <c r="Y27" s="147"/>
      <c r="Z27" s="148"/>
      <c r="AA27" s="128"/>
      <c r="AB27" s="128"/>
      <c r="AC27" s="128"/>
      <c r="AD27" s="128"/>
    </row>
    <row r="28" ht="20.25" customHeight="1">
      <c r="A28" s="144"/>
      <c r="B28" s="177" t="s">
        <v>113</v>
      </c>
      <c r="C28" s="138"/>
      <c r="D28" s="138"/>
      <c r="E28" s="138"/>
      <c r="F28" s="138"/>
      <c r="G28" s="138"/>
      <c r="H28" s="138"/>
      <c r="I28" s="138"/>
      <c r="J28" s="138"/>
      <c r="K28" s="149"/>
      <c r="L28" s="147"/>
      <c r="M28" s="147"/>
      <c r="N28" s="148"/>
      <c r="O28" s="149"/>
      <c r="P28" s="147"/>
      <c r="Q28" s="178"/>
      <c r="R28" s="148"/>
      <c r="S28" s="149"/>
      <c r="T28" s="147"/>
      <c r="U28" s="147"/>
      <c r="V28" s="148"/>
      <c r="W28" s="149"/>
      <c r="X28" s="147"/>
      <c r="Y28" s="147"/>
      <c r="Z28" s="148"/>
      <c r="AA28" s="128"/>
      <c r="AB28" s="128"/>
      <c r="AC28" s="128"/>
      <c r="AD28" s="128"/>
    </row>
    <row r="29" ht="20.25" customHeight="1">
      <c r="A29" s="144"/>
      <c r="B29" s="177" t="s">
        <v>114</v>
      </c>
      <c r="C29" s="138"/>
      <c r="D29" s="138"/>
      <c r="E29" s="138"/>
      <c r="F29" s="138"/>
      <c r="G29" s="138"/>
      <c r="H29" s="138"/>
      <c r="I29" s="138"/>
      <c r="J29" s="138"/>
      <c r="K29" s="149"/>
      <c r="L29" s="147"/>
      <c r="M29" s="147"/>
      <c r="N29" s="148"/>
      <c r="O29" s="157"/>
      <c r="P29" s="178"/>
      <c r="Q29" s="178"/>
      <c r="R29" s="158"/>
      <c r="S29" s="149"/>
      <c r="T29" s="147"/>
      <c r="U29" s="147"/>
      <c r="V29" s="148"/>
      <c r="W29" s="149"/>
      <c r="X29" s="147"/>
      <c r="Y29" s="147"/>
      <c r="Z29" s="148"/>
      <c r="AA29" s="128"/>
      <c r="AB29" s="128"/>
      <c r="AC29" s="128"/>
      <c r="AD29" s="128"/>
    </row>
    <row r="30" ht="20.25" customHeight="1">
      <c r="A30" s="144"/>
      <c r="B30" s="177" t="s">
        <v>115</v>
      </c>
      <c r="C30" s="138"/>
      <c r="D30" s="138"/>
      <c r="E30" s="138"/>
      <c r="F30" s="138"/>
      <c r="G30" s="138"/>
      <c r="H30" s="138"/>
      <c r="I30" s="138"/>
      <c r="J30" s="138"/>
      <c r="K30" s="149"/>
      <c r="L30" s="147"/>
      <c r="M30" s="147"/>
      <c r="N30" s="148"/>
      <c r="O30" s="149"/>
      <c r="P30" s="147"/>
      <c r="Q30" s="147"/>
      <c r="R30" s="148"/>
      <c r="S30" s="2"/>
      <c r="T30" s="2"/>
      <c r="U30" s="2"/>
      <c r="V30" s="2"/>
      <c r="W30" s="2"/>
      <c r="X30" s="2"/>
      <c r="Y30" s="2"/>
      <c r="Z30" s="2"/>
      <c r="AA30" s="128"/>
      <c r="AB30" s="128"/>
      <c r="AC30" s="128"/>
      <c r="AD30" s="128"/>
    </row>
    <row r="31" ht="20.25" customHeight="1">
      <c r="A31" s="144"/>
      <c r="B31" s="177" t="s">
        <v>116</v>
      </c>
      <c r="C31" s="138"/>
      <c r="D31" s="138"/>
      <c r="E31" s="138"/>
      <c r="F31" s="138"/>
      <c r="G31" s="138"/>
      <c r="H31" s="138"/>
      <c r="I31" s="138"/>
      <c r="J31" s="138"/>
      <c r="K31" s="149"/>
      <c r="L31" s="147"/>
      <c r="M31" s="147"/>
      <c r="N31" s="148"/>
      <c r="O31" s="149"/>
      <c r="P31" s="147"/>
      <c r="Q31" s="147"/>
      <c r="R31" s="148"/>
      <c r="S31" s="119"/>
      <c r="T31" s="119"/>
      <c r="U31" s="119"/>
      <c r="V31" s="119"/>
      <c r="W31" s="119"/>
      <c r="X31" s="119"/>
      <c r="Y31" s="119"/>
      <c r="Z31" s="119"/>
      <c r="AA31" s="128"/>
      <c r="AB31" s="128"/>
      <c r="AC31" s="128"/>
      <c r="AD31" s="128"/>
    </row>
    <row r="32" ht="20.25" customHeight="1">
      <c r="A32" s="144"/>
      <c r="B32" s="179" t="s">
        <v>117</v>
      </c>
      <c r="C32" s="160"/>
      <c r="D32" s="160"/>
      <c r="E32" s="160"/>
      <c r="F32" s="160"/>
      <c r="G32" s="160"/>
      <c r="H32" s="160"/>
      <c r="I32" s="160"/>
      <c r="J32" s="160"/>
      <c r="K32" s="161"/>
      <c r="L32" s="162"/>
      <c r="M32" s="162"/>
      <c r="N32" s="166"/>
      <c r="O32" s="161"/>
      <c r="P32" s="162"/>
      <c r="Q32" s="162"/>
      <c r="R32" s="166"/>
      <c r="S32" s="2"/>
      <c r="T32" s="2"/>
      <c r="U32" s="2"/>
      <c r="V32" s="2"/>
      <c r="W32" s="2"/>
      <c r="X32" s="2"/>
      <c r="Y32" s="2"/>
      <c r="Z32" s="2"/>
      <c r="AA32" s="128"/>
      <c r="AB32" s="128"/>
      <c r="AC32" s="128"/>
      <c r="AD32" s="128"/>
    </row>
    <row r="33" ht="20.25" customHeight="1">
      <c r="A33" s="180" t="s">
        <v>118</v>
      </c>
      <c r="B33" s="181" t="s">
        <v>95</v>
      </c>
      <c r="C33" s="138"/>
      <c r="D33" s="138"/>
      <c r="E33" s="138"/>
      <c r="F33" s="138"/>
      <c r="G33" s="138"/>
      <c r="H33" s="138"/>
      <c r="I33" s="138"/>
      <c r="J33" s="138"/>
      <c r="K33" s="170"/>
      <c r="L33" s="171"/>
      <c r="M33" s="171"/>
      <c r="N33" s="176"/>
      <c r="O33" s="170"/>
      <c r="P33" s="171"/>
      <c r="Q33" s="171"/>
      <c r="R33" s="176"/>
      <c r="S33" s="170"/>
      <c r="T33" s="171"/>
      <c r="U33" s="171"/>
      <c r="V33" s="176"/>
      <c r="W33" s="170"/>
      <c r="X33" s="171"/>
      <c r="Y33" s="171"/>
      <c r="Z33" s="176"/>
      <c r="AA33" s="128"/>
      <c r="AB33" s="128"/>
      <c r="AC33" s="128"/>
      <c r="AD33" s="128"/>
    </row>
    <row r="34" ht="20.25" customHeight="1">
      <c r="B34" s="181" t="s">
        <v>119</v>
      </c>
      <c r="C34" s="138"/>
      <c r="D34" s="138"/>
      <c r="E34" s="138"/>
      <c r="F34" s="138"/>
      <c r="G34" s="138"/>
      <c r="H34" s="138"/>
      <c r="I34" s="138"/>
      <c r="J34" s="138"/>
      <c r="K34" s="149"/>
      <c r="L34" s="147"/>
      <c r="M34" s="147"/>
      <c r="N34" s="148"/>
      <c r="O34" s="149"/>
      <c r="P34" s="147"/>
      <c r="Q34" s="147"/>
      <c r="R34" s="148"/>
      <c r="S34" s="149"/>
      <c r="T34" s="147"/>
      <c r="U34" s="147"/>
      <c r="V34" s="148"/>
      <c r="W34" s="149"/>
      <c r="X34" s="147"/>
      <c r="Y34" s="147"/>
      <c r="Z34" s="148"/>
      <c r="AA34" s="128"/>
      <c r="AB34" s="128"/>
      <c r="AC34" s="128"/>
      <c r="AD34" s="128"/>
    </row>
    <row r="35" ht="20.25" customHeight="1">
      <c r="B35" s="181" t="s">
        <v>120</v>
      </c>
      <c r="C35" s="138"/>
      <c r="D35" s="138"/>
      <c r="E35" s="138"/>
      <c r="F35" s="138"/>
      <c r="G35" s="138"/>
      <c r="H35" s="138"/>
      <c r="I35" s="138"/>
      <c r="J35" s="138"/>
      <c r="K35" s="149"/>
      <c r="L35" s="147"/>
      <c r="M35" s="147"/>
      <c r="N35" s="148"/>
      <c r="O35" s="149"/>
      <c r="P35" s="147"/>
      <c r="Q35" s="147"/>
      <c r="R35" s="148"/>
      <c r="S35" s="149"/>
      <c r="T35" s="147"/>
      <c r="U35" s="147"/>
      <c r="V35" s="148"/>
      <c r="W35" s="149"/>
      <c r="X35" s="147"/>
      <c r="Y35" s="147"/>
      <c r="Z35" s="148"/>
      <c r="AA35" s="128"/>
      <c r="AB35" s="128"/>
      <c r="AC35" s="128"/>
      <c r="AD35" s="128"/>
    </row>
    <row r="36" ht="20.25" customHeight="1">
      <c r="B36" s="181" t="s">
        <v>121</v>
      </c>
      <c r="C36" s="138"/>
      <c r="D36" s="138"/>
      <c r="E36" s="138"/>
      <c r="F36" s="138"/>
      <c r="G36" s="138"/>
      <c r="H36" s="138"/>
      <c r="I36" s="138"/>
      <c r="J36" s="138"/>
      <c r="K36" s="149"/>
      <c r="L36" s="147"/>
      <c r="M36" s="147"/>
      <c r="N36" s="148"/>
      <c r="O36" s="149"/>
      <c r="P36" s="147"/>
      <c r="Q36" s="147"/>
      <c r="R36" s="148"/>
      <c r="S36" s="149"/>
      <c r="T36" s="147"/>
      <c r="U36" s="147"/>
      <c r="V36" s="148"/>
      <c r="W36" s="149"/>
      <c r="X36" s="147"/>
      <c r="Y36" s="147"/>
      <c r="Z36" s="148"/>
      <c r="AA36" s="128"/>
      <c r="AB36" s="128"/>
      <c r="AC36" s="128"/>
      <c r="AD36" s="128"/>
    </row>
    <row r="37" ht="20.25" customHeight="1">
      <c r="B37" s="182" t="s">
        <v>122</v>
      </c>
      <c r="C37" s="160"/>
      <c r="D37" s="160"/>
      <c r="E37" s="160"/>
      <c r="F37" s="160"/>
      <c r="G37" s="160"/>
      <c r="H37" s="160"/>
      <c r="I37" s="160"/>
      <c r="J37" s="160"/>
      <c r="K37" s="161"/>
      <c r="L37" s="162"/>
      <c r="M37" s="162"/>
      <c r="N37" s="166"/>
      <c r="O37" s="161"/>
      <c r="P37" s="162"/>
      <c r="Q37" s="162"/>
      <c r="R37" s="166"/>
      <c r="S37" s="161"/>
      <c r="T37" s="162"/>
      <c r="U37" s="162"/>
      <c r="V37" s="166"/>
      <c r="W37" s="161"/>
      <c r="X37" s="162"/>
      <c r="Y37" s="162"/>
      <c r="Z37" s="166"/>
      <c r="AA37" s="128"/>
      <c r="AB37" s="128"/>
      <c r="AC37" s="128"/>
      <c r="AD37" s="128"/>
    </row>
    <row r="38" ht="20.25" customHeight="1">
      <c r="A38" s="183" t="s">
        <v>123</v>
      </c>
      <c r="B38" s="184" t="s">
        <v>124</v>
      </c>
      <c r="C38" s="138"/>
      <c r="D38" s="138"/>
      <c r="E38" s="138"/>
      <c r="F38" s="138"/>
      <c r="G38" s="138"/>
      <c r="H38" s="138"/>
      <c r="I38" s="138"/>
      <c r="J38" s="138"/>
      <c r="K38" s="143"/>
      <c r="L38" s="141"/>
      <c r="M38" s="141"/>
      <c r="N38" s="142"/>
      <c r="O38" s="143"/>
      <c r="P38" s="141"/>
      <c r="Q38" s="141"/>
      <c r="R38" s="142"/>
      <c r="S38" s="143"/>
      <c r="T38" s="141"/>
      <c r="U38" s="141"/>
      <c r="V38" s="142"/>
      <c r="W38" s="143"/>
      <c r="X38" s="141"/>
      <c r="Y38" s="141"/>
      <c r="Z38" s="142"/>
      <c r="AA38" s="128"/>
      <c r="AB38" s="128"/>
      <c r="AC38" s="128"/>
      <c r="AD38" s="128"/>
    </row>
    <row r="39" ht="20.25" customHeight="1">
      <c r="B39" s="184" t="s">
        <v>125</v>
      </c>
      <c r="C39" s="138"/>
      <c r="D39" s="138"/>
      <c r="E39" s="138"/>
      <c r="F39" s="138"/>
      <c r="G39" s="138"/>
      <c r="H39" s="138"/>
      <c r="I39" s="138"/>
      <c r="J39" s="138"/>
      <c r="K39" s="149"/>
      <c r="L39" s="147"/>
      <c r="M39" s="147"/>
      <c r="N39" s="148"/>
      <c r="O39" s="149"/>
      <c r="P39" s="147"/>
      <c r="Q39" s="147"/>
      <c r="R39" s="148"/>
      <c r="S39" s="149"/>
      <c r="T39" s="147"/>
      <c r="U39" s="147"/>
      <c r="V39" s="148"/>
      <c r="W39" s="149"/>
      <c r="X39" s="147"/>
      <c r="Y39" s="147"/>
      <c r="Z39" s="148"/>
      <c r="AA39" s="128"/>
      <c r="AB39" s="128"/>
      <c r="AC39" s="128"/>
      <c r="AD39" s="128"/>
    </row>
    <row r="40" ht="20.25" customHeight="1">
      <c r="B40" s="184" t="s">
        <v>126</v>
      </c>
      <c r="C40" s="138"/>
      <c r="D40" s="138"/>
      <c r="E40" s="138"/>
      <c r="F40" s="138"/>
      <c r="G40" s="138"/>
      <c r="H40" s="138"/>
      <c r="I40" s="138"/>
      <c r="J40" s="138"/>
      <c r="K40" s="149"/>
      <c r="L40" s="147"/>
      <c r="M40" s="147"/>
      <c r="N40" s="148"/>
      <c r="O40" s="149"/>
      <c r="P40" s="147"/>
      <c r="Q40" s="147"/>
      <c r="R40" s="148"/>
      <c r="S40" s="149"/>
      <c r="T40" s="147"/>
      <c r="U40" s="147"/>
      <c r="V40" s="148"/>
      <c r="W40" s="149"/>
      <c r="X40" s="147"/>
      <c r="Y40" s="147"/>
      <c r="Z40" s="148"/>
      <c r="AA40" s="128"/>
      <c r="AB40" s="128"/>
      <c r="AC40" s="128"/>
      <c r="AD40" s="128"/>
    </row>
    <row r="41" ht="20.25" customHeight="1">
      <c r="B41" s="185"/>
      <c r="C41" s="160"/>
      <c r="D41" s="160"/>
      <c r="E41" s="160"/>
      <c r="F41" s="160"/>
      <c r="G41" s="160"/>
      <c r="H41" s="160"/>
      <c r="I41" s="160"/>
      <c r="J41" s="160"/>
      <c r="K41" s="161"/>
      <c r="L41" s="162"/>
      <c r="M41" s="162"/>
      <c r="N41" s="166"/>
      <c r="O41" s="161"/>
      <c r="P41" s="162"/>
      <c r="Q41" s="162"/>
      <c r="R41" s="166"/>
      <c r="S41" s="161"/>
      <c r="T41" s="162"/>
      <c r="U41" s="162"/>
      <c r="V41" s="166"/>
      <c r="W41" s="161"/>
      <c r="X41" s="162"/>
      <c r="Y41" s="162"/>
      <c r="Z41" s="166"/>
      <c r="AA41" s="128"/>
      <c r="AB41" s="128"/>
      <c r="AC41" s="128"/>
      <c r="AD41" s="128"/>
    </row>
    <row r="42" ht="21.0" customHeight="1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</row>
    <row r="43" ht="21.0" customHeight="1">
      <c r="A43" s="186" t="s">
        <v>127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</row>
    <row r="44" ht="21.0" customHeight="1">
      <c r="A44" s="61"/>
      <c r="B44" s="187" t="s">
        <v>128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</row>
    <row r="45" ht="21.0" customHeight="1">
      <c r="A45" s="61"/>
      <c r="B45" s="187" t="s">
        <v>129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</row>
    <row r="46" ht="21.0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</row>
    <row r="47" ht="21.0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ht="21.0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ht="21.0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ht="21.0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</row>
    <row r="51" ht="21.0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</row>
    <row r="52" ht="21.0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</row>
    <row r="53" ht="21.0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</row>
    <row r="54" ht="21.0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</row>
    <row r="55" ht="21.0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</row>
    <row r="56" ht="21.0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</row>
    <row r="57" ht="21.0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</row>
    <row r="58" ht="21.0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</row>
    <row r="59" ht="21.0" customHeight="1">
      <c r="A59" s="188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</row>
    <row r="60" ht="21.0" customHeight="1">
      <c r="A60" s="188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</row>
    <row r="61" ht="21.0" customHeight="1">
      <c r="A61" s="188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</row>
    <row r="62" ht="21.0" customHeight="1">
      <c r="A62" s="188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</row>
    <row r="63" ht="21.0" customHeight="1">
      <c r="A63" s="188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</row>
    <row r="64" ht="21.0" customHeight="1">
      <c r="A64" s="188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</row>
    <row r="65" ht="21.0" customHeight="1">
      <c r="A65" s="188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</row>
    <row r="66" ht="21.0" customHeight="1">
      <c r="A66" s="188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</row>
    <row r="67" ht="21.0" customHeight="1">
      <c r="A67" s="188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</row>
    <row r="68" ht="21.0" customHeight="1">
      <c r="A68" s="188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</row>
    <row r="69" ht="21.0" customHeight="1">
      <c r="A69" s="188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</row>
    <row r="70" ht="21.0" customHeight="1">
      <c r="A70" s="188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</row>
    <row r="71" ht="21.0" customHeight="1">
      <c r="A71" s="188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</row>
    <row r="72" ht="21.0" customHeight="1">
      <c r="A72" s="188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</row>
    <row r="73" ht="21.0" customHeight="1">
      <c r="A73" s="188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</row>
    <row r="74" ht="21.0" customHeight="1">
      <c r="A74" s="188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  <row r="75" ht="21.0" customHeight="1">
      <c r="A75" s="188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</row>
    <row r="76" ht="21.0" customHeight="1">
      <c r="A76" s="188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</row>
    <row r="77" ht="21.0" customHeight="1">
      <c r="A77" s="188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</row>
    <row r="78" ht="21.0" customHeight="1">
      <c r="A78" s="188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</row>
    <row r="79" ht="21.0" customHeight="1">
      <c r="A79" s="188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</row>
    <row r="80" ht="21.0" customHeight="1">
      <c r="A80" s="188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 ht="21.0" customHeight="1">
      <c r="A81" s="188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</row>
    <row r="82" ht="21.0" customHeight="1">
      <c r="A82" s="188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</row>
    <row r="83" ht="21.0" customHeight="1">
      <c r="A83" s="188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</row>
    <row r="84" ht="21.0" customHeight="1">
      <c r="A84" s="188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</row>
    <row r="85" ht="21.0" customHeight="1">
      <c r="A85" s="188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</row>
    <row r="86" ht="21.0" customHeight="1">
      <c r="A86" s="188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 ht="21.0" customHeight="1">
      <c r="A87" s="188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</row>
    <row r="88" ht="21.0" customHeight="1">
      <c r="A88" s="188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ht="21.0" customHeight="1">
      <c r="A89" s="188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</row>
    <row r="90" ht="21.0" customHeight="1">
      <c r="A90" s="188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</row>
    <row r="91" ht="21.0" customHeight="1">
      <c r="A91" s="188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</row>
    <row r="92" ht="21.0" customHeight="1">
      <c r="A92" s="188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</row>
    <row r="93" ht="21.0" customHeight="1">
      <c r="A93" s="188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</row>
    <row r="94" ht="21.0" customHeight="1">
      <c r="A94" s="188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</row>
    <row r="95" ht="21.0" customHeight="1">
      <c r="A95" s="188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</row>
    <row r="96" ht="21.0" customHeight="1">
      <c r="A96" s="188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</row>
    <row r="97" ht="21.0" customHeight="1">
      <c r="A97" s="188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</row>
    <row r="98" ht="21.0" customHeight="1">
      <c r="A98" s="188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</row>
    <row r="99" ht="21.0" customHeight="1">
      <c r="A99" s="188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</row>
    <row r="100" ht="21.0" customHeight="1">
      <c r="A100" s="188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</row>
    <row r="101" ht="21.0" customHeight="1">
      <c r="A101" s="188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</row>
    <row r="102" ht="21.0" customHeight="1">
      <c r="A102" s="188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</row>
    <row r="103" ht="21.0" customHeight="1">
      <c r="A103" s="188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</row>
    <row r="104" ht="21.0" customHeight="1">
      <c r="A104" s="188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</row>
    <row r="105" ht="21.0" customHeight="1">
      <c r="A105" s="188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</row>
    <row r="106" ht="21.0" customHeight="1">
      <c r="A106" s="188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</row>
    <row r="107" ht="21.0" customHeight="1">
      <c r="A107" s="188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</row>
    <row r="108" ht="21.0" customHeight="1">
      <c r="A108" s="188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</row>
    <row r="109" ht="21.0" customHeight="1">
      <c r="A109" s="188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</row>
    <row r="110" ht="21.0" customHeight="1">
      <c r="A110" s="188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</row>
    <row r="111" ht="21.0" customHeight="1">
      <c r="A111" s="188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</row>
    <row r="112" ht="21.0" customHeight="1">
      <c r="A112" s="188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</row>
    <row r="113" ht="21.0" customHeight="1">
      <c r="A113" s="188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</row>
    <row r="114" ht="21.0" customHeight="1">
      <c r="A114" s="188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</row>
    <row r="115" ht="21.0" customHeight="1">
      <c r="A115" s="188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</row>
    <row r="116" ht="21.0" customHeight="1">
      <c r="A116" s="188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</row>
    <row r="117" ht="21.0" customHeight="1">
      <c r="A117" s="188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</row>
    <row r="118" ht="21.0" customHeight="1">
      <c r="A118" s="188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 ht="21.0" customHeight="1">
      <c r="A119" s="188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</row>
    <row r="120" ht="21.0" customHeight="1">
      <c r="A120" s="188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</row>
    <row r="121" ht="21.0" customHeight="1">
      <c r="A121" s="188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</row>
    <row r="122" ht="21.0" customHeight="1">
      <c r="A122" s="188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</row>
    <row r="123" ht="21.0" customHeight="1">
      <c r="A123" s="188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</row>
    <row r="124" ht="21.0" customHeight="1">
      <c r="A124" s="188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</row>
    <row r="125" ht="21.0" customHeight="1">
      <c r="A125" s="188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</row>
    <row r="126" ht="21.0" customHeight="1">
      <c r="A126" s="188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</row>
    <row r="127" ht="21.0" customHeight="1">
      <c r="A127" s="188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</row>
    <row r="128" ht="21.0" customHeight="1">
      <c r="A128" s="188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</row>
    <row r="129" ht="21.0" customHeight="1">
      <c r="A129" s="188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</row>
    <row r="130" ht="21.0" customHeight="1">
      <c r="A130" s="188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</row>
    <row r="131" ht="21.0" customHeight="1">
      <c r="A131" s="188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</row>
    <row r="132" ht="21.0" customHeight="1">
      <c r="A132" s="188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</row>
    <row r="133" ht="21.0" customHeight="1">
      <c r="A133" s="188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</row>
    <row r="134" ht="21.0" customHeight="1">
      <c r="A134" s="188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</row>
    <row r="135" ht="21.0" customHeight="1">
      <c r="A135" s="188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</row>
    <row r="136" ht="21.0" customHeight="1">
      <c r="A136" s="188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</row>
    <row r="137" ht="21.0" customHeight="1">
      <c r="A137" s="188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</row>
    <row r="138" ht="21.0" customHeight="1">
      <c r="A138" s="188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</row>
    <row r="139" ht="21.0" customHeight="1">
      <c r="A139" s="188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</row>
    <row r="140" ht="21.0" customHeight="1">
      <c r="A140" s="188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</row>
    <row r="141" ht="21.0" customHeight="1">
      <c r="A141" s="188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</row>
    <row r="142" ht="21.0" customHeight="1">
      <c r="A142" s="188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</row>
    <row r="143" ht="21.0" customHeight="1">
      <c r="A143" s="188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</row>
    <row r="144" ht="21.0" customHeight="1">
      <c r="A144" s="188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</row>
    <row r="145" ht="21.0" customHeight="1">
      <c r="A145" s="188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</row>
    <row r="146" ht="21.0" customHeight="1">
      <c r="A146" s="188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</row>
    <row r="147" ht="21.0" customHeight="1">
      <c r="A147" s="188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</row>
    <row r="148" ht="21.0" customHeight="1">
      <c r="A148" s="188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</row>
    <row r="149" ht="21.0" customHeight="1">
      <c r="A149" s="188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</row>
    <row r="150" ht="21.0" customHeight="1">
      <c r="A150" s="188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</row>
    <row r="151" ht="21.0" customHeight="1">
      <c r="A151" s="188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</row>
    <row r="152" ht="21.0" customHeight="1">
      <c r="A152" s="188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</row>
    <row r="153" ht="21.0" customHeight="1">
      <c r="A153" s="188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</row>
    <row r="154" ht="21.0" customHeight="1">
      <c r="A154" s="188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</row>
    <row r="155" ht="21.0" customHeight="1">
      <c r="A155" s="188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</row>
    <row r="156" ht="21.0" customHeight="1">
      <c r="A156" s="188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</row>
    <row r="157" ht="21.0" customHeight="1">
      <c r="A157" s="188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</row>
    <row r="158" ht="21.0" customHeight="1">
      <c r="A158" s="188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</row>
    <row r="159" ht="21.0" customHeight="1">
      <c r="A159" s="188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</row>
    <row r="160" ht="21.0" customHeight="1">
      <c r="A160" s="188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</row>
    <row r="161" ht="21.0" customHeight="1">
      <c r="A161" s="188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</row>
    <row r="162" ht="21.0" customHeight="1">
      <c r="A162" s="188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</row>
    <row r="163" ht="21.0" customHeight="1">
      <c r="A163" s="188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</row>
    <row r="164" ht="21.0" customHeight="1">
      <c r="A164" s="188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</row>
    <row r="165" ht="21.0" customHeight="1">
      <c r="A165" s="188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</row>
    <row r="166" ht="21.0" customHeight="1">
      <c r="A166" s="188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</row>
    <row r="167" ht="21.0" customHeight="1">
      <c r="A167" s="188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</row>
    <row r="168" ht="21.0" customHeight="1">
      <c r="A168" s="188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</row>
    <row r="169" ht="21.0" customHeight="1">
      <c r="A169" s="188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</row>
    <row r="170" ht="21.0" customHeight="1">
      <c r="A170" s="188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</row>
    <row r="171" ht="21.0" customHeight="1">
      <c r="A171" s="188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</row>
    <row r="172" ht="21.0" customHeight="1">
      <c r="A172" s="188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</row>
    <row r="173" ht="21.0" customHeight="1">
      <c r="A173" s="188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</row>
    <row r="174" ht="21.0" customHeight="1">
      <c r="A174" s="188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</row>
    <row r="175" ht="21.0" customHeight="1">
      <c r="A175" s="188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</row>
    <row r="176" ht="21.0" customHeight="1">
      <c r="A176" s="188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</row>
    <row r="177" ht="21.0" customHeight="1">
      <c r="A177" s="188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</row>
    <row r="178" ht="21.0" customHeight="1">
      <c r="A178" s="188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</row>
    <row r="179" ht="21.0" customHeight="1">
      <c r="A179" s="188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</row>
    <row r="180" ht="21.0" customHeight="1">
      <c r="A180" s="188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</row>
    <row r="181" ht="21.0" customHeight="1">
      <c r="A181" s="188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</row>
    <row r="182" ht="21.0" customHeight="1">
      <c r="A182" s="188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</row>
    <row r="183" ht="21.0" customHeight="1">
      <c r="A183" s="188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</row>
    <row r="184" ht="21.0" customHeight="1">
      <c r="A184" s="188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</row>
    <row r="185" ht="21.0" customHeight="1">
      <c r="A185" s="188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</row>
    <row r="186" ht="21.0" customHeight="1">
      <c r="A186" s="188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</row>
    <row r="187" ht="21.0" customHeight="1">
      <c r="A187" s="188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</row>
    <row r="188" ht="21.0" customHeight="1">
      <c r="A188" s="188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</row>
    <row r="189" ht="21.0" customHeight="1">
      <c r="A189" s="188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</row>
    <row r="190" ht="21.0" customHeight="1">
      <c r="A190" s="188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</row>
    <row r="191" ht="21.0" customHeight="1">
      <c r="A191" s="188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</row>
    <row r="192" ht="21.0" customHeight="1">
      <c r="A192" s="188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</row>
    <row r="193" ht="21.0" customHeight="1">
      <c r="A193" s="188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</row>
    <row r="194" ht="21.0" customHeight="1">
      <c r="A194" s="188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</row>
    <row r="195" ht="21.0" customHeight="1">
      <c r="A195" s="188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</row>
    <row r="196" ht="21.0" customHeight="1">
      <c r="A196" s="188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</row>
    <row r="197" ht="21.0" customHeight="1">
      <c r="A197" s="188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</row>
    <row r="198" ht="21.0" customHeight="1">
      <c r="A198" s="188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</row>
    <row r="199" ht="21.0" customHeight="1">
      <c r="A199" s="188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</row>
    <row r="200" ht="21.0" customHeight="1">
      <c r="A200" s="188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</row>
    <row r="201" ht="21.0" customHeight="1">
      <c r="A201" s="188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</row>
    <row r="202" ht="21.0" customHeight="1">
      <c r="A202" s="188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</row>
    <row r="203" ht="21.0" customHeight="1">
      <c r="A203" s="188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</row>
    <row r="204" ht="21.0" customHeight="1">
      <c r="A204" s="188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</row>
    <row r="205" ht="21.0" customHeight="1">
      <c r="A205" s="188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</row>
    <row r="206" ht="21.0" customHeight="1">
      <c r="A206" s="188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</row>
    <row r="207" ht="21.0" customHeight="1">
      <c r="A207" s="188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</row>
    <row r="208" ht="21.0" customHeight="1">
      <c r="A208" s="188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</row>
    <row r="209" ht="21.0" customHeight="1">
      <c r="A209" s="188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</row>
    <row r="210" ht="21.0" customHeight="1">
      <c r="A210" s="188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</row>
    <row r="211" ht="21.0" customHeight="1">
      <c r="A211" s="188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</row>
    <row r="212" ht="21.0" customHeight="1">
      <c r="A212" s="188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</row>
    <row r="213" ht="21.0" customHeight="1">
      <c r="A213" s="188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</row>
    <row r="214" ht="21.0" customHeight="1">
      <c r="A214" s="188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</row>
    <row r="215" ht="21.0" customHeight="1">
      <c r="A215" s="188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</row>
    <row r="216" ht="21.0" customHeight="1">
      <c r="A216" s="188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</row>
    <row r="217" ht="21.0" customHeight="1">
      <c r="A217" s="188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</row>
    <row r="218" ht="21.0" customHeight="1">
      <c r="A218" s="188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</row>
    <row r="219" ht="21.0" customHeight="1">
      <c r="A219" s="188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</row>
    <row r="220" ht="21.0" customHeight="1">
      <c r="A220" s="188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</row>
    <row r="221" ht="21.0" customHeight="1">
      <c r="A221" s="188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</row>
    <row r="222" ht="21.0" customHeight="1">
      <c r="A222" s="188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</row>
    <row r="223" ht="21.0" customHeight="1">
      <c r="A223" s="188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</row>
    <row r="224" ht="21.0" customHeight="1">
      <c r="A224" s="188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</row>
    <row r="225" ht="21.0" customHeight="1">
      <c r="A225" s="188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</row>
    <row r="226" ht="21.0" customHeight="1">
      <c r="A226" s="188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</row>
    <row r="227" ht="21.0" customHeight="1">
      <c r="A227" s="188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</row>
    <row r="228" ht="21.0" customHeight="1">
      <c r="A228" s="188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</row>
    <row r="229" ht="21.0" customHeight="1">
      <c r="A229" s="188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</row>
    <row r="230" ht="21.0" customHeight="1">
      <c r="A230" s="188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</row>
    <row r="231" ht="21.0" customHeight="1">
      <c r="A231" s="188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</row>
    <row r="232" ht="21.0" customHeight="1">
      <c r="A232" s="188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</row>
    <row r="233" ht="21.0" customHeight="1">
      <c r="A233" s="188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</row>
    <row r="234" ht="21.0" customHeight="1">
      <c r="A234" s="188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</row>
    <row r="235" ht="21.0" customHeight="1">
      <c r="A235" s="188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</row>
    <row r="236" ht="21.0" customHeight="1">
      <c r="A236" s="188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</row>
    <row r="237" ht="21.0" customHeight="1">
      <c r="A237" s="188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</row>
    <row r="238" ht="21.0" customHeight="1">
      <c r="A238" s="188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</row>
    <row r="239" ht="21.0" customHeight="1">
      <c r="A239" s="188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</row>
    <row r="240" ht="21.0" customHeight="1">
      <c r="A240" s="188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</row>
    <row r="241" ht="21.0" customHeight="1">
      <c r="A241" s="188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</row>
    <row r="242" ht="21.0" customHeight="1">
      <c r="A242" s="188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</row>
    <row r="243" ht="21.0" customHeight="1">
      <c r="A243" s="188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</row>
    <row r="244" ht="21.0" customHeight="1">
      <c r="A244" s="188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</row>
    <row r="245" ht="21.0" customHeight="1">
      <c r="A245" s="188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</row>
    <row r="246" ht="21.0" customHeight="1">
      <c r="A246" s="188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</row>
    <row r="247" ht="21.0" customHeight="1">
      <c r="A247" s="188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</row>
    <row r="248" ht="21.0" customHeight="1">
      <c r="A248" s="188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</row>
    <row r="249" ht="21.0" customHeight="1">
      <c r="A249" s="188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</row>
    <row r="250" ht="21.0" customHeight="1">
      <c r="A250" s="188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</row>
    <row r="251" ht="21.0" customHeight="1">
      <c r="A251" s="188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</row>
    <row r="252" ht="21.0" customHeight="1">
      <c r="A252" s="188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</row>
    <row r="253" ht="21.0" customHeight="1">
      <c r="A253" s="188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</row>
    <row r="254" ht="21.0" customHeight="1">
      <c r="A254" s="188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</row>
    <row r="255" ht="21.0" customHeight="1">
      <c r="A255" s="188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</row>
    <row r="256" ht="21.0" customHeight="1">
      <c r="A256" s="188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</row>
    <row r="257" ht="21.0" customHeight="1">
      <c r="A257" s="188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</row>
    <row r="258" ht="21.0" customHeight="1">
      <c r="A258" s="188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</row>
    <row r="259" ht="21.0" customHeight="1">
      <c r="A259" s="188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</row>
    <row r="260" ht="21.0" customHeight="1">
      <c r="A260" s="188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</row>
    <row r="261" ht="21.0" customHeight="1">
      <c r="A261" s="188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</row>
    <row r="262" ht="21.0" customHeight="1">
      <c r="A262" s="188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</row>
    <row r="263" ht="21.0" customHeight="1">
      <c r="A263" s="188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</row>
    <row r="264" ht="21.0" customHeight="1">
      <c r="A264" s="188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</row>
    <row r="265" ht="21.0" customHeight="1">
      <c r="A265" s="188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</row>
    <row r="266" ht="21.0" customHeight="1">
      <c r="A266" s="188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</row>
    <row r="267" ht="21.0" customHeight="1">
      <c r="A267" s="188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</row>
    <row r="268" ht="21.0" customHeight="1">
      <c r="A268" s="188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</row>
    <row r="269" ht="21.0" customHeight="1">
      <c r="A269" s="188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</row>
    <row r="270" ht="21.0" customHeight="1">
      <c r="A270" s="188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</row>
    <row r="271" ht="21.0" customHeight="1">
      <c r="A271" s="188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</row>
    <row r="272" ht="21.0" customHeight="1">
      <c r="A272" s="188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</row>
    <row r="273" ht="21.0" customHeight="1">
      <c r="A273" s="188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</row>
    <row r="274" ht="21.0" customHeight="1">
      <c r="A274" s="188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</row>
    <row r="275" ht="21.0" customHeight="1">
      <c r="A275" s="188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</row>
    <row r="276" ht="21.0" customHeight="1">
      <c r="A276" s="188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</row>
    <row r="277" ht="21.0" customHeight="1">
      <c r="A277" s="188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</row>
    <row r="278" ht="21.0" customHeight="1">
      <c r="A278" s="188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</row>
    <row r="279" ht="21.0" customHeight="1">
      <c r="A279" s="188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</row>
    <row r="280" ht="21.0" customHeight="1">
      <c r="A280" s="188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</row>
    <row r="281" ht="21.0" customHeight="1">
      <c r="A281" s="188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</row>
    <row r="282" ht="21.0" customHeight="1">
      <c r="A282" s="188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</row>
    <row r="283" ht="21.0" customHeight="1">
      <c r="A283" s="188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</row>
    <row r="284" ht="21.0" customHeight="1">
      <c r="A284" s="188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</row>
    <row r="285" ht="21.0" customHeight="1">
      <c r="A285" s="188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</row>
    <row r="286" ht="21.0" customHeight="1">
      <c r="A286" s="188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</row>
    <row r="287" ht="21.0" customHeight="1">
      <c r="A287" s="188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</row>
    <row r="288" ht="21.0" customHeight="1">
      <c r="A288" s="188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</row>
    <row r="289" ht="21.0" customHeight="1">
      <c r="A289" s="188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</row>
    <row r="290" ht="21.0" customHeight="1">
      <c r="A290" s="188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</row>
    <row r="291" ht="21.0" customHeight="1">
      <c r="A291" s="188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</row>
    <row r="292" ht="21.0" customHeight="1">
      <c r="A292" s="188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</row>
    <row r="293" ht="21.0" customHeight="1">
      <c r="A293" s="188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</row>
    <row r="294" ht="21.0" customHeight="1">
      <c r="A294" s="188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</row>
    <row r="295" ht="21.0" customHeight="1">
      <c r="A295" s="188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</row>
    <row r="296" ht="21.0" customHeight="1">
      <c r="A296" s="188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</row>
    <row r="297" ht="21.0" customHeight="1">
      <c r="A297" s="188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</row>
    <row r="298" ht="21.0" customHeight="1">
      <c r="A298" s="188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</row>
    <row r="299" ht="21.0" customHeight="1">
      <c r="A299" s="188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</row>
    <row r="300" ht="21.0" customHeight="1">
      <c r="A300" s="188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</row>
    <row r="301" ht="21.0" customHeight="1">
      <c r="A301" s="188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</row>
    <row r="302" ht="21.0" customHeight="1">
      <c r="A302" s="188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</row>
    <row r="303" ht="21.0" customHeight="1">
      <c r="A303" s="188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</row>
    <row r="304" ht="21.0" customHeight="1">
      <c r="A304" s="188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</row>
    <row r="305" ht="21.0" customHeight="1">
      <c r="A305" s="188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</row>
    <row r="306" ht="21.0" customHeight="1">
      <c r="A306" s="188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</row>
    <row r="307" ht="21.0" customHeight="1">
      <c r="A307" s="188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</row>
    <row r="308" ht="21.0" customHeight="1">
      <c r="A308" s="188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</row>
    <row r="309" ht="21.0" customHeight="1">
      <c r="A309" s="188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</row>
    <row r="310" ht="21.0" customHeight="1">
      <c r="A310" s="188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</row>
    <row r="311" ht="21.0" customHeight="1">
      <c r="A311" s="188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</row>
    <row r="312" ht="21.0" customHeight="1">
      <c r="A312" s="188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</row>
    <row r="313" ht="21.0" customHeight="1">
      <c r="A313" s="188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</row>
    <row r="314" ht="21.0" customHeight="1">
      <c r="A314" s="188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</row>
    <row r="315" ht="21.0" customHeight="1">
      <c r="A315" s="188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</row>
    <row r="316" ht="21.0" customHeight="1">
      <c r="A316" s="188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</row>
    <row r="317" ht="21.0" customHeight="1">
      <c r="A317" s="188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</row>
    <row r="318" ht="21.0" customHeight="1">
      <c r="A318" s="188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</row>
    <row r="319" ht="21.0" customHeight="1">
      <c r="A319" s="188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</row>
    <row r="320" ht="21.0" customHeight="1">
      <c r="A320" s="188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</row>
    <row r="321" ht="21.0" customHeight="1">
      <c r="A321" s="188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</row>
    <row r="322" ht="21.0" customHeight="1">
      <c r="A322" s="188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</row>
    <row r="323" ht="21.0" customHeight="1">
      <c r="A323" s="188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</row>
    <row r="324" ht="21.0" customHeight="1">
      <c r="A324" s="188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</row>
    <row r="325" ht="21.0" customHeight="1">
      <c r="A325" s="188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</row>
    <row r="326" ht="21.0" customHeight="1">
      <c r="A326" s="188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</row>
    <row r="327" ht="21.0" customHeight="1">
      <c r="A327" s="188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</row>
    <row r="328" ht="21.0" customHeight="1">
      <c r="A328" s="188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</row>
    <row r="329" ht="21.0" customHeight="1">
      <c r="A329" s="188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</row>
    <row r="330" ht="21.0" customHeight="1">
      <c r="A330" s="188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</row>
    <row r="331" ht="21.0" customHeight="1">
      <c r="A331" s="188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</row>
    <row r="332" ht="21.0" customHeight="1">
      <c r="A332" s="188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</row>
    <row r="333" ht="21.0" customHeight="1">
      <c r="A333" s="188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</row>
    <row r="334" ht="21.0" customHeight="1">
      <c r="A334" s="188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</row>
    <row r="335" ht="21.0" customHeight="1">
      <c r="A335" s="188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</row>
    <row r="336" ht="21.0" customHeight="1">
      <c r="A336" s="188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</row>
    <row r="337" ht="21.0" customHeight="1">
      <c r="A337" s="188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</row>
    <row r="338" ht="21.0" customHeight="1">
      <c r="A338" s="188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</row>
    <row r="339" ht="21.0" customHeight="1">
      <c r="A339" s="188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</row>
    <row r="340" ht="21.0" customHeight="1">
      <c r="A340" s="188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</row>
    <row r="341" ht="21.0" customHeight="1">
      <c r="A341" s="188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</row>
    <row r="342" ht="21.0" customHeight="1">
      <c r="A342" s="188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</row>
    <row r="343" ht="21.0" customHeight="1">
      <c r="A343" s="188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</row>
    <row r="344" ht="21.0" customHeight="1">
      <c r="A344" s="188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</row>
    <row r="345" ht="21.0" customHeight="1">
      <c r="A345" s="188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</row>
    <row r="346" ht="21.0" customHeight="1">
      <c r="A346" s="188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</row>
    <row r="347" ht="21.0" customHeight="1">
      <c r="A347" s="188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</row>
    <row r="348" ht="21.0" customHeight="1">
      <c r="A348" s="188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</row>
    <row r="349" ht="21.0" customHeight="1">
      <c r="A349" s="188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</row>
    <row r="350" ht="21.0" customHeight="1">
      <c r="A350" s="188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</row>
    <row r="351" ht="21.0" customHeight="1">
      <c r="A351" s="188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</row>
    <row r="352" ht="21.0" customHeight="1">
      <c r="A352" s="188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</row>
    <row r="353" ht="21.0" customHeight="1">
      <c r="A353" s="188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</row>
    <row r="354" ht="21.0" customHeight="1">
      <c r="A354" s="188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</row>
    <row r="355" ht="21.0" customHeight="1">
      <c r="A355" s="188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</row>
    <row r="356" ht="21.0" customHeight="1">
      <c r="A356" s="188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</row>
    <row r="357" ht="21.0" customHeight="1">
      <c r="A357" s="188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</row>
    <row r="358" ht="21.0" customHeight="1">
      <c r="A358" s="188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</row>
    <row r="359" ht="21.0" customHeight="1">
      <c r="A359" s="188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</row>
    <row r="360" ht="21.0" customHeight="1">
      <c r="A360" s="188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</row>
    <row r="361" ht="21.0" customHeight="1">
      <c r="A361" s="188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</row>
    <row r="362" ht="21.0" customHeight="1">
      <c r="A362" s="188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</row>
    <row r="363" ht="21.0" customHeight="1">
      <c r="A363" s="188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</row>
    <row r="364" ht="21.0" customHeight="1">
      <c r="A364" s="188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</row>
    <row r="365" ht="21.0" customHeight="1">
      <c r="A365" s="188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</row>
    <row r="366" ht="21.0" customHeight="1">
      <c r="A366" s="188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</row>
    <row r="367" ht="21.0" customHeight="1">
      <c r="A367" s="188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</row>
    <row r="368" ht="21.0" customHeight="1">
      <c r="A368" s="188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</row>
    <row r="369" ht="21.0" customHeight="1">
      <c r="A369" s="188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</row>
    <row r="370" ht="21.0" customHeight="1">
      <c r="A370" s="188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</row>
    <row r="371" ht="21.0" customHeight="1">
      <c r="A371" s="188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</row>
    <row r="372" ht="21.0" customHeight="1">
      <c r="A372" s="188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</row>
    <row r="373" ht="21.0" customHeight="1">
      <c r="A373" s="188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</row>
    <row r="374" ht="21.0" customHeight="1">
      <c r="A374" s="188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</row>
    <row r="375" ht="21.0" customHeight="1">
      <c r="A375" s="188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</row>
    <row r="376" ht="21.0" customHeight="1">
      <c r="A376" s="188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</row>
    <row r="377" ht="21.0" customHeight="1">
      <c r="A377" s="188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</row>
    <row r="378" ht="21.0" customHeight="1">
      <c r="A378" s="188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</row>
    <row r="379" ht="21.0" customHeight="1">
      <c r="A379" s="188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</row>
    <row r="380" ht="21.0" customHeight="1">
      <c r="A380" s="188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</row>
    <row r="381" ht="21.0" customHeight="1">
      <c r="A381" s="188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</row>
    <row r="382" ht="21.0" customHeight="1">
      <c r="A382" s="188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</row>
    <row r="383" ht="21.0" customHeight="1">
      <c r="A383" s="188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</row>
    <row r="384" ht="21.0" customHeight="1">
      <c r="A384" s="188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</row>
    <row r="385" ht="21.0" customHeight="1">
      <c r="A385" s="188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</row>
    <row r="386" ht="21.0" customHeight="1">
      <c r="A386" s="188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</row>
    <row r="387" ht="21.0" customHeight="1">
      <c r="A387" s="188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</row>
    <row r="388" ht="21.0" customHeight="1">
      <c r="A388" s="188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</row>
    <row r="389" ht="21.0" customHeight="1">
      <c r="A389" s="188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</row>
    <row r="390" ht="21.0" customHeight="1">
      <c r="A390" s="188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</row>
    <row r="391" ht="21.0" customHeight="1">
      <c r="A391" s="188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</row>
    <row r="392" ht="21.0" customHeight="1">
      <c r="A392" s="188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</row>
    <row r="393" ht="21.0" customHeight="1">
      <c r="A393" s="188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</row>
    <row r="394" ht="21.0" customHeight="1">
      <c r="A394" s="188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</row>
    <row r="395" ht="21.0" customHeight="1">
      <c r="A395" s="188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</row>
    <row r="396" ht="21.0" customHeight="1">
      <c r="A396" s="188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</row>
    <row r="397" ht="21.0" customHeight="1">
      <c r="A397" s="188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</row>
    <row r="398" ht="21.0" customHeight="1">
      <c r="A398" s="188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</row>
    <row r="399" ht="21.0" customHeight="1">
      <c r="A399" s="188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</row>
    <row r="400" ht="21.0" customHeight="1">
      <c r="A400" s="188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</row>
    <row r="401" ht="21.0" customHeight="1">
      <c r="A401" s="188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</row>
    <row r="402" ht="21.0" customHeight="1">
      <c r="A402" s="188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</row>
    <row r="403" ht="21.0" customHeight="1">
      <c r="A403" s="188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</row>
    <row r="404" ht="21.0" customHeight="1">
      <c r="A404" s="188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</row>
    <row r="405" ht="21.0" customHeight="1">
      <c r="A405" s="188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</row>
    <row r="406" ht="21.0" customHeight="1">
      <c r="A406" s="188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</row>
    <row r="407" ht="21.0" customHeight="1">
      <c r="A407" s="188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</row>
    <row r="408" ht="21.0" customHeight="1">
      <c r="A408" s="188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</row>
    <row r="409" ht="21.0" customHeight="1">
      <c r="A409" s="188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</row>
    <row r="410" ht="21.0" customHeight="1">
      <c r="A410" s="188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</row>
    <row r="411" ht="21.0" customHeight="1">
      <c r="A411" s="188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</row>
    <row r="412" ht="21.0" customHeight="1">
      <c r="A412" s="188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</row>
    <row r="413" ht="21.0" customHeight="1">
      <c r="A413" s="188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</row>
    <row r="414" ht="21.0" customHeight="1">
      <c r="A414" s="188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</row>
    <row r="415" ht="21.0" customHeight="1">
      <c r="A415" s="188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</row>
    <row r="416" ht="21.0" customHeight="1">
      <c r="A416" s="188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</row>
    <row r="417" ht="21.0" customHeight="1">
      <c r="A417" s="188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</row>
    <row r="418" ht="21.0" customHeight="1">
      <c r="A418" s="188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</row>
    <row r="419" ht="21.0" customHeight="1">
      <c r="A419" s="188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</row>
    <row r="420" ht="21.0" customHeight="1">
      <c r="A420" s="188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</row>
    <row r="421" ht="21.0" customHeight="1">
      <c r="A421" s="188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</row>
    <row r="422" ht="21.0" customHeight="1">
      <c r="A422" s="188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</row>
    <row r="423" ht="21.0" customHeight="1">
      <c r="A423" s="188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</row>
    <row r="424" ht="21.0" customHeight="1">
      <c r="A424" s="188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</row>
    <row r="425" ht="21.0" customHeight="1">
      <c r="A425" s="188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</row>
    <row r="426" ht="21.0" customHeight="1">
      <c r="A426" s="188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</row>
    <row r="427" ht="21.0" customHeight="1">
      <c r="A427" s="188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</row>
    <row r="428" ht="21.0" customHeight="1">
      <c r="A428" s="188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</row>
    <row r="429" ht="21.0" customHeight="1">
      <c r="A429" s="188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</row>
    <row r="430" ht="21.0" customHeight="1">
      <c r="A430" s="188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</row>
    <row r="431" ht="21.0" customHeight="1">
      <c r="A431" s="188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</row>
    <row r="432" ht="21.0" customHeight="1">
      <c r="A432" s="188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</row>
    <row r="433" ht="21.0" customHeight="1">
      <c r="A433" s="188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</row>
    <row r="434" ht="21.0" customHeight="1">
      <c r="A434" s="188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</row>
    <row r="435" ht="21.0" customHeight="1">
      <c r="A435" s="188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</row>
    <row r="436" ht="21.0" customHeight="1">
      <c r="A436" s="188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</row>
    <row r="437" ht="21.0" customHeight="1">
      <c r="A437" s="188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</row>
    <row r="438" ht="21.0" customHeight="1">
      <c r="A438" s="188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</row>
    <row r="439" ht="21.0" customHeight="1">
      <c r="A439" s="188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</row>
    <row r="440" ht="21.0" customHeight="1">
      <c r="A440" s="188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</row>
    <row r="441" ht="21.0" customHeight="1">
      <c r="A441" s="188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</row>
    <row r="442" ht="21.0" customHeight="1">
      <c r="A442" s="188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</row>
    <row r="443" ht="21.0" customHeight="1">
      <c r="A443" s="188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</row>
    <row r="444" ht="21.0" customHeight="1">
      <c r="A444" s="188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</row>
    <row r="445" ht="21.0" customHeight="1">
      <c r="A445" s="188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</row>
    <row r="446" ht="21.0" customHeight="1">
      <c r="A446" s="188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</row>
    <row r="447" ht="21.0" customHeight="1">
      <c r="A447" s="188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</row>
    <row r="448" ht="21.0" customHeight="1">
      <c r="A448" s="188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</row>
    <row r="449" ht="21.0" customHeight="1">
      <c r="A449" s="188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</row>
    <row r="450" ht="21.0" customHeight="1">
      <c r="A450" s="188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</row>
    <row r="451" ht="21.0" customHeight="1">
      <c r="A451" s="188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</row>
    <row r="452" ht="21.0" customHeight="1">
      <c r="A452" s="188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</row>
    <row r="453" ht="21.0" customHeight="1">
      <c r="A453" s="188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</row>
    <row r="454" ht="21.0" customHeight="1">
      <c r="A454" s="188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</row>
    <row r="455" ht="21.0" customHeight="1">
      <c r="A455" s="188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</row>
    <row r="456" ht="21.0" customHeight="1">
      <c r="A456" s="188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</row>
    <row r="457" ht="21.0" customHeight="1">
      <c r="A457" s="188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</row>
    <row r="458" ht="21.0" customHeight="1">
      <c r="A458" s="188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</row>
    <row r="459" ht="21.0" customHeight="1">
      <c r="A459" s="188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</row>
    <row r="460" ht="21.0" customHeight="1">
      <c r="A460" s="188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</row>
    <row r="461" ht="21.0" customHeight="1">
      <c r="A461" s="188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</row>
    <row r="462" ht="21.0" customHeight="1">
      <c r="A462" s="188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</row>
    <row r="463" ht="21.0" customHeight="1">
      <c r="A463" s="188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</row>
    <row r="464" ht="21.0" customHeight="1">
      <c r="A464" s="188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</row>
    <row r="465" ht="21.0" customHeight="1">
      <c r="A465" s="188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</row>
    <row r="466" ht="21.0" customHeight="1">
      <c r="A466" s="188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</row>
    <row r="467" ht="21.0" customHeight="1">
      <c r="A467" s="188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</row>
    <row r="468" ht="21.0" customHeight="1">
      <c r="A468" s="188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</row>
    <row r="469" ht="21.0" customHeight="1">
      <c r="A469" s="188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</row>
    <row r="470" ht="21.0" customHeight="1">
      <c r="A470" s="188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</row>
    <row r="471" ht="21.0" customHeight="1">
      <c r="A471" s="188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</row>
    <row r="472" ht="21.0" customHeight="1">
      <c r="A472" s="188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</row>
    <row r="473" ht="21.0" customHeight="1">
      <c r="A473" s="188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</row>
    <row r="474" ht="21.0" customHeight="1">
      <c r="A474" s="188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</row>
    <row r="475" ht="21.0" customHeight="1">
      <c r="A475" s="188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</row>
    <row r="476" ht="21.0" customHeight="1">
      <c r="A476" s="188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</row>
    <row r="477" ht="21.0" customHeight="1">
      <c r="A477" s="188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</row>
    <row r="478" ht="21.0" customHeight="1">
      <c r="A478" s="188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</row>
    <row r="479" ht="21.0" customHeight="1">
      <c r="A479" s="188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</row>
    <row r="480" ht="21.0" customHeight="1">
      <c r="A480" s="188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</row>
    <row r="481" ht="21.0" customHeight="1">
      <c r="A481" s="188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</row>
    <row r="482" ht="21.0" customHeight="1">
      <c r="A482" s="188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</row>
    <row r="483" ht="21.0" customHeight="1">
      <c r="A483" s="188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</row>
    <row r="484" ht="21.0" customHeight="1">
      <c r="A484" s="188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</row>
    <row r="485" ht="21.0" customHeight="1">
      <c r="A485" s="188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</row>
    <row r="486" ht="21.0" customHeight="1">
      <c r="A486" s="188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</row>
    <row r="487" ht="21.0" customHeight="1">
      <c r="A487" s="188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</row>
    <row r="488" ht="21.0" customHeight="1">
      <c r="A488" s="188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</row>
    <row r="489" ht="21.0" customHeight="1">
      <c r="A489" s="188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</row>
    <row r="490" ht="21.0" customHeight="1">
      <c r="A490" s="188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</row>
    <row r="491" ht="21.0" customHeight="1">
      <c r="A491" s="188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</row>
    <row r="492" ht="21.0" customHeight="1">
      <c r="A492" s="188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</row>
    <row r="493" ht="21.0" customHeight="1">
      <c r="A493" s="188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</row>
    <row r="494" ht="21.0" customHeight="1">
      <c r="A494" s="188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</row>
    <row r="495" ht="21.0" customHeight="1">
      <c r="A495" s="188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</row>
    <row r="496" ht="21.0" customHeight="1">
      <c r="A496" s="188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</row>
    <row r="497" ht="21.0" customHeight="1">
      <c r="A497" s="188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</row>
    <row r="498" ht="21.0" customHeight="1">
      <c r="A498" s="188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</row>
    <row r="499" ht="21.0" customHeight="1">
      <c r="A499" s="188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</row>
    <row r="500" ht="21.0" customHeight="1">
      <c r="A500" s="188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</row>
    <row r="501" ht="21.0" customHeight="1">
      <c r="A501" s="188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</row>
    <row r="502" ht="21.0" customHeight="1">
      <c r="A502" s="188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</row>
    <row r="503" ht="21.0" customHeight="1">
      <c r="A503" s="188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</row>
    <row r="504" ht="21.0" customHeight="1">
      <c r="A504" s="188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</row>
    <row r="505" ht="21.0" customHeight="1">
      <c r="A505" s="188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</row>
    <row r="506" ht="21.0" customHeight="1">
      <c r="A506" s="188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</row>
    <row r="507" ht="21.0" customHeight="1">
      <c r="A507" s="188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</row>
    <row r="508" ht="21.0" customHeight="1">
      <c r="A508" s="188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</row>
    <row r="509" ht="21.0" customHeight="1">
      <c r="A509" s="188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</row>
    <row r="510" ht="21.0" customHeight="1">
      <c r="A510" s="188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</row>
    <row r="511" ht="21.0" customHeight="1">
      <c r="A511" s="188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</row>
    <row r="512" ht="21.0" customHeight="1">
      <c r="A512" s="188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</row>
    <row r="513" ht="21.0" customHeight="1">
      <c r="A513" s="188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</row>
    <row r="514" ht="21.0" customHeight="1">
      <c r="A514" s="188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</row>
    <row r="515" ht="21.0" customHeight="1">
      <c r="A515" s="188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</row>
    <row r="516" ht="21.0" customHeight="1">
      <c r="A516" s="188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</row>
    <row r="517" ht="21.0" customHeight="1">
      <c r="A517" s="188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</row>
    <row r="518" ht="21.0" customHeight="1">
      <c r="A518" s="188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</row>
    <row r="519" ht="21.0" customHeight="1">
      <c r="A519" s="188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</row>
    <row r="520" ht="21.0" customHeight="1">
      <c r="A520" s="188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</row>
    <row r="521" ht="21.0" customHeight="1">
      <c r="A521" s="188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</row>
    <row r="522" ht="21.0" customHeight="1">
      <c r="A522" s="188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</row>
    <row r="523" ht="21.0" customHeight="1">
      <c r="A523" s="188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</row>
    <row r="524" ht="21.0" customHeight="1">
      <c r="A524" s="188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</row>
    <row r="525" ht="21.0" customHeight="1">
      <c r="A525" s="188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</row>
    <row r="526" ht="21.0" customHeight="1">
      <c r="A526" s="188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</row>
    <row r="527" ht="21.0" customHeight="1">
      <c r="A527" s="188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</row>
    <row r="528" ht="21.0" customHeight="1">
      <c r="A528" s="188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</row>
    <row r="529" ht="21.0" customHeight="1">
      <c r="A529" s="188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</row>
    <row r="530" ht="21.0" customHeight="1">
      <c r="A530" s="188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</row>
    <row r="531" ht="21.0" customHeight="1">
      <c r="A531" s="188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</row>
    <row r="532" ht="21.0" customHeight="1">
      <c r="A532" s="188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</row>
    <row r="533" ht="21.0" customHeight="1">
      <c r="A533" s="188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</row>
    <row r="534" ht="21.0" customHeight="1">
      <c r="A534" s="188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</row>
    <row r="535" ht="21.0" customHeight="1">
      <c r="A535" s="188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</row>
    <row r="536" ht="21.0" customHeight="1">
      <c r="A536" s="188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</row>
    <row r="537" ht="21.0" customHeight="1">
      <c r="A537" s="188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</row>
    <row r="538" ht="21.0" customHeight="1">
      <c r="A538" s="188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</row>
    <row r="539" ht="21.0" customHeight="1">
      <c r="A539" s="188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</row>
    <row r="540" ht="21.0" customHeight="1">
      <c r="A540" s="188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</row>
    <row r="541" ht="21.0" customHeight="1">
      <c r="A541" s="188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</row>
    <row r="542" ht="21.0" customHeight="1">
      <c r="A542" s="188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</row>
    <row r="543" ht="21.0" customHeight="1">
      <c r="A543" s="188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</row>
    <row r="544" ht="21.0" customHeight="1">
      <c r="A544" s="188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</row>
    <row r="545" ht="21.0" customHeight="1">
      <c r="A545" s="188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</row>
    <row r="546" ht="21.0" customHeight="1">
      <c r="A546" s="188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</row>
    <row r="547" ht="21.0" customHeight="1">
      <c r="A547" s="188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</row>
    <row r="548" ht="21.0" customHeight="1">
      <c r="A548" s="188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</row>
    <row r="549" ht="21.0" customHeight="1">
      <c r="A549" s="188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</row>
    <row r="550" ht="21.0" customHeight="1">
      <c r="A550" s="188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</row>
    <row r="551" ht="21.0" customHeight="1">
      <c r="A551" s="188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</row>
    <row r="552" ht="21.0" customHeight="1">
      <c r="A552" s="188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</row>
    <row r="553" ht="21.0" customHeight="1">
      <c r="A553" s="188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</row>
    <row r="554" ht="21.0" customHeight="1">
      <c r="A554" s="188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</row>
    <row r="555" ht="21.0" customHeight="1">
      <c r="A555" s="188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</row>
    <row r="556" ht="21.0" customHeight="1">
      <c r="A556" s="188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</row>
    <row r="557" ht="21.0" customHeight="1">
      <c r="A557" s="188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</row>
    <row r="558" ht="21.0" customHeight="1">
      <c r="A558" s="188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</row>
    <row r="559" ht="21.0" customHeight="1">
      <c r="A559" s="188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</row>
    <row r="560" ht="21.0" customHeight="1">
      <c r="A560" s="188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</row>
    <row r="561" ht="21.0" customHeight="1">
      <c r="A561" s="188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</row>
    <row r="562" ht="21.0" customHeight="1">
      <c r="A562" s="188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</row>
    <row r="563" ht="21.0" customHeight="1">
      <c r="A563" s="188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</row>
    <row r="564" ht="21.0" customHeight="1">
      <c r="A564" s="188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</row>
    <row r="565" ht="21.0" customHeight="1">
      <c r="A565" s="188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</row>
    <row r="566" ht="21.0" customHeight="1">
      <c r="A566" s="188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</row>
    <row r="567" ht="21.0" customHeight="1">
      <c r="A567" s="188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</row>
    <row r="568" ht="21.0" customHeight="1">
      <c r="A568" s="188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</row>
    <row r="569" ht="21.0" customHeight="1">
      <c r="A569" s="188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</row>
    <row r="570" ht="21.0" customHeight="1">
      <c r="A570" s="188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</row>
    <row r="571" ht="21.0" customHeight="1">
      <c r="A571" s="188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</row>
    <row r="572" ht="21.0" customHeight="1">
      <c r="A572" s="188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</row>
    <row r="573" ht="21.0" customHeight="1">
      <c r="A573" s="188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</row>
    <row r="574" ht="21.0" customHeight="1">
      <c r="A574" s="188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</row>
    <row r="575" ht="21.0" customHeight="1">
      <c r="A575" s="188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</row>
    <row r="576" ht="21.0" customHeight="1">
      <c r="A576" s="188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</row>
    <row r="577" ht="21.0" customHeight="1">
      <c r="A577" s="188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</row>
    <row r="578" ht="21.0" customHeight="1">
      <c r="A578" s="188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</row>
    <row r="579" ht="21.0" customHeight="1">
      <c r="A579" s="188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</row>
    <row r="580" ht="21.0" customHeight="1">
      <c r="A580" s="188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</row>
    <row r="581" ht="21.0" customHeight="1">
      <c r="A581" s="188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</row>
    <row r="582" ht="21.0" customHeight="1">
      <c r="A582" s="188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</row>
    <row r="583" ht="21.0" customHeight="1">
      <c r="A583" s="188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</row>
    <row r="584" ht="21.0" customHeight="1">
      <c r="A584" s="188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</row>
    <row r="585" ht="21.0" customHeight="1">
      <c r="A585" s="188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</row>
    <row r="586" ht="21.0" customHeight="1">
      <c r="A586" s="188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</row>
    <row r="587" ht="21.0" customHeight="1">
      <c r="A587" s="188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</row>
    <row r="588" ht="21.0" customHeight="1">
      <c r="A588" s="188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</row>
    <row r="589" ht="21.0" customHeight="1">
      <c r="A589" s="188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</row>
    <row r="590" ht="21.0" customHeight="1">
      <c r="A590" s="188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</row>
    <row r="591" ht="21.0" customHeight="1">
      <c r="A591" s="188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</row>
    <row r="592" ht="21.0" customHeight="1">
      <c r="A592" s="188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</row>
    <row r="593" ht="21.0" customHeight="1">
      <c r="A593" s="188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</row>
    <row r="594" ht="21.0" customHeight="1">
      <c r="A594" s="188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</row>
    <row r="595" ht="21.0" customHeight="1">
      <c r="A595" s="188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</row>
    <row r="596" ht="21.0" customHeight="1">
      <c r="A596" s="188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</row>
    <row r="597" ht="21.0" customHeight="1">
      <c r="A597" s="188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</row>
    <row r="598" ht="21.0" customHeight="1">
      <c r="A598" s="188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</row>
    <row r="599" ht="21.0" customHeight="1">
      <c r="A599" s="188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</row>
    <row r="600" ht="21.0" customHeight="1">
      <c r="A600" s="188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</row>
    <row r="601" ht="21.0" customHeight="1">
      <c r="A601" s="188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</row>
    <row r="602" ht="21.0" customHeight="1">
      <c r="A602" s="188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</row>
    <row r="603" ht="21.0" customHeight="1">
      <c r="A603" s="188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</row>
    <row r="604" ht="21.0" customHeight="1">
      <c r="A604" s="188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</row>
    <row r="605" ht="21.0" customHeight="1">
      <c r="A605" s="188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</row>
    <row r="606" ht="21.0" customHeight="1">
      <c r="A606" s="188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</row>
    <row r="607" ht="21.0" customHeight="1">
      <c r="A607" s="188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</row>
    <row r="608" ht="21.0" customHeight="1">
      <c r="A608" s="188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</row>
    <row r="609" ht="21.0" customHeight="1">
      <c r="A609" s="188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</row>
    <row r="610" ht="21.0" customHeight="1">
      <c r="A610" s="188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</row>
    <row r="611" ht="21.0" customHeight="1">
      <c r="A611" s="188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</row>
    <row r="612" ht="21.0" customHeight="1">
      <c r="A612" s="188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</row>
    <row r="613" ht="21.0" customHeight="1">
      <c r="A613" s="188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</row>
    <row r="614" ht="21.0" customHeight="1">
      <c r="A614" s="188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</row>
    <row r="615" ht="21.0" customHeight="1">
      <c r="A615" s="188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</row>
    <row r="616" ht="21.0" customHeight="1">
      <c r="A616" s="188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</row>
    <row r="617" ht="21.0" customHeight="1">
      <c r="A617" s="188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</row>
    <row r="618" ht="21.0" customHeight="1">
      <c r="A618" s="188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</row>
    <row r="619" ht="21.0" customHeight="1">
      <c r="A619" s="188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</row>
    <row r="620" ht="21.0" customHeight="1">
      <c r="A620" s="188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</row>
    <row r="621" ht="21.0" customHeight="1">
      <c r="A621" s="188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</row>
    <row r="622" ht="21.0" customHeight="1">
      <c r="A622" s="188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</row>
    <row r="623" ht="21.0" customHeight="1">
      <c r="A623" s="188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</row>
    <row r="624" ht="21.0" customHeight="1">
      <c r="A624" s="188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</row>
    <row r="625" ht="21.0" customHeight="1">
      <c r="A625" s="188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</row>
    <row r="626" ht="21.0" customHeight="1">
      <c r="A626" s="188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</row>
    <row r="627" ht="21.0" customHeight="1">
      <c r="A627" s="188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</row>
    <row r="628" ht="21.0" customHeight="1">
      <c r="A628" s="188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</row>
    <row r="629" ht="21.0" customHeight="1">
      <c r="A629" s="188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</row>
    <row r="630" ht="21.0" customHeight="1">
      <c r="A630" s="188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</row>
    <row r="631" ht="21.0" customHeight="1">
      <c r="A631" s="188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</row>
    <row r="632" ht="21.0" customHeight="1">
      <c r="A632" s="188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</row>
    <row r="633" ht="21.0" customHeight="1">
      <c r="A633" s="188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</row>
    <row r="634" ht="21.0" customHeight="1">
      <c r="A634" s="188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</row>
    <row r="635" ht="21.0" customHeight="1">
      <c r="A635" s="188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</row>
    <row r="636" ht="21.0" customHeight="1">
      <c r="A636" s="188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</row>
    <row r="637" ht="21.0" customHeight="1">
      <c r="A637" s="188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</row>
    <row r="638" ht="21.0" customHeight="1">
      <c r="A638" s="188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</row>
    <row r="639" ht="21.0" customHeight="1">
      <c r="A639" s="188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</row>
    <row r="640" ht="21.0" customHeight="1">
      <c r="A640" s="188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</row>
    <row r="641" ht="21.0" customHeight="1">
      <c r="A641" s="188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</row>
    <row r="642" ht="21.0" customHeight="1">
      <c r="A642" s="188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</row>
    <row r="643" ht="21.0" customHeight="1">
      <c r="A643" s="188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</row>
    <row r="644" ht="21.0" customHeight="1">
      <c r="A644" s="188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</row>
    <row r="645" ht="21.0" customHeight="1">
      <c r="A645" s="188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</row>
    <row r="646" ht="21.0" customHeight="1">
      <c r="A646" s="188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</row>
    <row r="647" ht="21.0" customHeight="1">
      <c r="A647" s="188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</row>
    <row r="648" ht="21.0" customHeight="1">
      <c r="A648" s="188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</row>
    <row r="649" ht="21.0" customHeight="1">
      <c r="A649" s="188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</row>
    <row r="650" ht="21.0" customHeight="1">
      <c r="A650" s="188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</row>
    <row r="651" ht="21.0" customHeight="1">
      <c r="A651" s="188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</row>
    <row r="652" ht="21.0" customHeight="1">
      <c r="A652" s="188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</row>
    <row r="653" ht="21.0" customHeight="1">
      <c r="A653" s="188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</row>
    <row r="654" ht="21.0" customHeight="1">
      <c r="A654" s="188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</row>
    <row r="655" ht="21.0" customHeight="1">
      <c r="A655" s="188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</row>
    <row r="656" ht="21.0" customHeight="1">
      <c r="A656" s="188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</row>
    <row r="657" ht="21.0" customHeight="1">
      <c r="A657" s="188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</row>
    <row r="658" ht="21.0" customHeight="1">
      <c r="A658" s="188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</row>
    <row r="659" ht="21.0" customHeight="1">
      <c r="A659" s="188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</row>
    <row r="660" ht="21.0" customHeight="1">
      <c r="A660" s="188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</row>
    <row r="661" ht="21.0" customHeight="1">
      <c r="A661" s="188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</row>
    <row r="662" ht="21.0" customHeight="1">
      <c r="A662" s="188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</row>
    <row r="663" ht="21.0" customHeight="1">
      <c r="A663" s="188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</row>
    <row r="664" ht="21.0" customHeight="1">
      <c r="A664" s="188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</row>
    <row r="665" ht="21.0" customHeight="1">
      <c r="A665" s="188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</row>
    <row r="666" ht="21.0" customHeight="1">
      <c r="A666" s="188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</row>
    <row r="667" ht="21.0" customHeight="1">
      <c r="A667" s="188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</row>
    <row r="668" ht="21.0" customHeight="1">
      <c r="A668" s="188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</row>
    <row r="669" ht="21.0" customHeight="1">
      <c r="A669" s="188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</row>
    <row r="670" ht="21.0" customHeight="1">
      <c r="A670" s="188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</row>
    <row r="671" ht="21.0" customHeight="1">
      <c r="A671" s="188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</row>
    <row r="672" ht="21.0" customHeight="1">
      <c r="A672" s="188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</row>
    <row r="673" ht="21.0" customHeight="1">
      <c r="A673" s="188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</row>
    <row r="674" ht="21.0" customHeight="1">
      <c r="A674" s="188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</row>
    <row r="675" ht="21.0" customHeight="1">
      <c r="A675" s="188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</row>
    <row r="676" ht="21.0" customHeight="1">
      <c r="A676" s="188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</row>
    <row r="677" ht="21.0" customHeight="1">
      <c r="A677" s="188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</row>
    <row r="678" ht="21.0" customHeight="1">
      <c r="A678" s="188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</row>
    <row r="679" ht="21.0" customHeight="1">
      <c r="A679" s="188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</row>
    <row r="680" ht="21.0" customHeight="1">
      <c r="A680" s="188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</row>
    <row r="681" ht="21.0" customHeight="1">
      <c r="A681" s="188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</row>
    <row r="682" ht="21.0" customHeight="1">
      <c r="A682" s="188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</row>
    <row r="683" ht="21.0" customHeight="1">
      <c r="A683" s="188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</row>
    <row r="684" ht="21.0" customHeight="1">
      <c r="A684" s="188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</row>
    <row r="685" ht="21.0" customHeight="1">
      <c r="A685" s="188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</row>
    <row r="686" ht="21.0" customHeight="1">
      <c r="A686" s="188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</row>
    <row r="687" ht="21.0" customHeight="1">
      <c r="A687" s="188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</row>
    <row r="688" ht="21.0" customHeight="1">
      <c r="A688" s="188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</row>
    <row r="689" ht="21.0" customHeight="1">
      <c r="A689" s="188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</row>
    <row r="690" ht="21.0" customHeight="1">
      <c r="A690" s="188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</row>
    <row r="691" ht="21.0" customHeight="1">
      <c r="A691" s="188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</row>
    <row r="692" ht="21.0" customHeight="1">
      <c r="A692" s="188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</row>
    <row r="693" ht="21.0" customHeight="1">
      <c r="A693" s="188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</row>
    <row r="694" ht="21.0" customHeight="1">
      <c r="A694" s="188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</row>
    <row r="695" ht="21.0" customHeight="1">
      <c r="A695" s="188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</row>
    <row r="696" ht="21.0" customHeight="1">
      <c r="A696" s="188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</row>
    <row r="697" ht="21.0" customHeight="1">
      <c r="A697" s="188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</row>
    <row r="698" ht="21.0" customHeight="1">
      <c r="A698" s="188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</row>
    <row r="699" ht="21.0" customHeight="1">
      <c r="A699" s="188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</row>
    <row r="700" ht="21.0" customHeight="1">
      <c r="A700" s="188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</row>
    <row r="701" ht="21.0" customHeight="1">
      <c r="A701" s="188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</row>
    <row r="702" ht="21.0" customHeight="1">
      <c r="A702" s="188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</row>
    <row r="703" ht="21.0" customHeight="1">
      <c r="A703" s="188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</row>
    <row r="704" ht="21.0" customHeight="1">
      <c r="A704" s="188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</row>
    <row r="705" ht="21.0" customHeight="1">
      <c r="A705" s="188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</row>
    <row r="706" ht="21.0" customHeight="1">
      <c r="A706" s="188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</row>
    <row r="707" ht="21.0" customHeight="1">
      <c r="A707" s="188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</row>
    <row r="708" ht="21.0" customHeight="1">
      <c r="A708" s="188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</row>
    <row r="709" ht="21.0" customHeight="1">
      <c r="A709" s="188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</row>
    <row r="710" ht="21.0" customHeight="1">
      <c r="A710" s="188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</row>
    <row r="711" ht="21.0" customHeight="1">
      <c r="A711" s="188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</row>
    <row r="712" ht="21.0" customHeight="1">
      <c r="A712" s="188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</row>
    <row r="713" ht="21.0" customHeight="1">
      <c r="A713" s="188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</row>
    <row r="714" ht="21.0" customHeight="1">
      <c r="A714" s="188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</row>
    <row r="715" ht="21.0" customHeight="1">
      <c r="A715" s="188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</row>
    <row r="716" ht="21.0" customHeight="1">
      <c r="A716" s="188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</row>
    <row r="717" ht="21.0" customHeight="1">
      <c r="A717" s="188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</row>
    <row r="718" ht="21.0" customHeight="1">
      <c r="A718" s="188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</row>
    <row r="719" ht="21.0" customHeight="1">
      <c r="A719" s="188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</row>
    <row r="720" ht="21.0" customHeight="1">
      <c r="A720" s="188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</row>
    <row r="721" ht="21.0" customHeight="1">
      <c r="A721" s="188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</row>
    <row r="722" ht="21.0" customHeight="1">
      <c r="A722" s="188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</row>
    <row r="723" ht="21.0" customHeight="1">
      <c r="A723" s="188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</row>
    <row r="724" ht="21.0" customHeight="1">
      <c r="A724" s="188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</row>
    <row r="725" ht="21.0" customHeight="1">
      <c r="A725" s="188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</row>
    <row r="726" ht="21.0" customHeight="1">
      <c r="A726" s="188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</row>
    <row r="727" ht="21.0" customHeight="1">
      <c r="A727" s="188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</row>
    <row r="728" ht="21.0" customHeight="1">
      <c r="A728" s="188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</row>
    <row r="729" ht="21.0" customHeight="1">
      <c r="A729" s="188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</row>
    <row r="730" ht="21.0" customHeight="1">
      <c r="A730" s="188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</row>
    <row r="731" ht="21.0" customHeight="1">
      <c r="A731" s="188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</row>
    <row r="732" ht="21.0" customHeight="1">
      <c r="A732" s="188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</row>
    <row r="733" ht="21.0" customHeight="1">
      <c r="A733" s="188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</row>
    <row r="734" ht="21.0" customHeight="1">
      <c r="A734" s="188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</row>
    <row r="735" ht="21.0" customHeight="1">
      <c r="A735" s="188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</row>
    <row r="736" ht="21.0" customHeight="1">
      <c r="A736" s="188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</row>
    <row r="737" ht="21.0" customHeight="1">
      <c r="A737" s="188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</row>
    <row r="738" ht="21.0" customHeight="1">
      <c r="A738" s="188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</row>
    <row r="739" ht="21.0" customHeight="1">
      <c r="A739" s="188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</row>
    <row r="740" ht="21.0" customHeight="1">
      <c r="A740" s="188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</row>
    <row r="741" ht="21.0" customHeight="1">
      <c r="A741" s="188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</row>
    <row r="742" ht="21.0" customHeight="1">
      <c r="A742" s="188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</row>
    <row r="743" ht="21.0" customHeight="1">
      <c r="A743" s="188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</row>
    <row r="744" ht="21.0" customHeight="1">
      <c r="A744" s="188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</row>
    <row r="745" ht="21.0" customHeight="1">
      <c r="A745" s="188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</row>
    <row r="746" ht="21.0" customHeight="1">
      <c r="A746" s="188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</row>
    <row r="747" ht="21.0" customHeight="1">
      <c r="A747" s="188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</row>
    <row r="748" ht="21.0" customHeight="1">
      <c r="A748" s="188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</row>
    <row r="749" ht="21.0" customHeight="1">
      <c r="A749" s="188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</row>
    <row r="750" ht="21.0" customHeight="1">
      <c r="A750" s="188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</row>
    <row r="751" ht="21.0" customHeight="1">
      <c r="A751" s="188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</row>
    <row r="752" ht="21.0" customHeight="1">
      <c r="A752" s="188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</row>
    <row r="753" ht="21.0" customHeight="1">
      <c r="A753" s="188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</row>
    <row r="754" ht="21.0" customHeight="1">
      <c r="A754" s="188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</row>
    <row r="755" ht="21.0" customHeight="1">
      <c r="A755" s="188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</row>
    <row r="756" ht="21.0" customHeight="1">
      <c r="A756" s="188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</row>
    <row r="757" ht="21.0" customHeight="1">
      <c r="A757" s="188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</row>
    <row r="758" ht="21.0" customHeight="1">
      <c r="A758" s="188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</row>
    <row r="759" ht="21.0" customHeight="1">
      <c r="A759" s="188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</row>
    <row r="760" ht="21.0" customHeight="1">
      <c r="A760" s="188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</row>
    <row r="761" ht="21.0" customHeight="1">
      <c r="A761" s="188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</row>
    <row r="762" ht="21.0" customHeight="1">
      <c r="A762" s="188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</row>
    <row r="763" ht="21.0" customHeight="1">
      <c r="A763" s="188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</row>
    <row r="764" ht="21.0" customHeight="1">
      <c r="A764" s="188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</row>
    <row r="765" ht="21.0" customHeight="1">
      <c r="A765" s="188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</row>
    <row r="766" ht="21.0" customHeight="1">
      <c r="A766" s="188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</row>
    <row r="767" ht="21.0" customHeight="1">
      <c r="A767" s="188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</row>
    <row r="768" ht="21.0" customHeight="1">
      <c r="A768" s="188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</row>
    <row r="769" ht="21.0" customHeight="1">
      <c r="A769" s="188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</row>
    <row r="770" ht="21.0" customHeight="1">
      <c r="A770" s="188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</row>
    <row r="771" ht="21.0" customHeight="1">
      <c r="A771" s="188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</row>
    <row r="772" ht="21.0" customHeight="1">
      <c r="A772" s="188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</row>
    <row r="773" ht="21.0" customHeight="1">
      <c r="A773" s="188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</row>
    <row r="774" ht="21.0" customHeight="1">
      <c r="A774" s="188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</row>
    <row r="775" ht="21.0" customHeight="1">
      <c r="A775" s="188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</row>
    <row r="776" ht="21.0" customHeight="1">
      <c r="A776" s="188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</row>
    <row r="777" ht="21.0" customHeight="1">
      <c r="A777" s="188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</row>
    <row r="778" ht="21.0" customHeight="1">
      <c r="A778" s="188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</row>
    <row r="779" ht="21.0" customHeight="1">
      <c r="A779" s="188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</row>
    <row r="780" ht="21.0" customHeight="1">
      <c r="A780" s="188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</row>
    <row r="781" ht="21.0" customHeight="1">
      <c r="A781" s="188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</row>
    <row r="782" ht="21.0" customHeight="1">
      <c r="A782" s="188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</row>
    <row r="783" ht="21.0" customHeight="1">
      <c r="A783" s="188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</row>
    <row r="784" ht="21.0" customHeight="1">
      <c r="A784" s="188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</row>
    <row r="785" ht="21.0" customHeight="1">
      <c r="A785" s="188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</row>
    <row r="786" ht="21.0" customHeight="1">
      <c r="A786" s="188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</row>
    <row r="787" ht="21.0" customHeight="1">
      <c r="A787" s="188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</row>
    <row r="788" ht="21.0" customHeight="1">
      <c r="A788" s="188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</row>
    <row r="789" ht="21.0" customHeight="1">
      <c r="A789" s="188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</row>
    <row r="790" ht="21.0" customHeight="1">
      <c r="A790" s="188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</row>
    <row r="791" ht="21.0" customHeight="1">
      <c r="A791" s="188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</row>
    <row r="792" ht="21.0" customHeight="1">
      <c r="A792" s="188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</row>
    <row r="793" ht="21.0" customHeight="1">
      <c r="A793" s="188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</row>
    <row r="794" ht="21.0" customHeight="1">
      <c r="A794" s="188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</row>
    <row r="795" ht="21.0" customHeight="1">
      <c r="A795" s="188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</row>
    <row r="796" ht="21.0" customHeight="1">
      <c r="A796" s="188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</row>
    <row r="797" ht="21.0" customHeight="1">
      <c r="A797" s="188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</row>
    <row r="798" ht="21.0" customHeight="1">
      <c r="A798" s="188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</row>
    <row r="799" ht="21.0" customHeight="1">
      <c r="A799" s="188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</row>
    <row r="800" ht="21.0" customHeight="1">
      <c r="A800" s="188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</row>
    <row r="801" ht="21.0" customHeight="1">
      <c r="A801" s="188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</row>
    <row r="802" ht="21.0" customHeight="1">
      <c r="A802" s="188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</row>
    <row r="803" ht="21.0" customHeight="1">
      <c r="A803" s="188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</row>
    <row r="804" ht="21.0" customHeight="1">
      <c r="A804" s="188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</row>
    <row r="805" ht="21.0" customHeight="1">
      <c r="A805" s="188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</row>
    <row r="806" ht="21.0" customHeight="1">
      <c r="A806" s="188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</row>
    <row r="807" ht="21.0" customHeight="1">
      <c r="A807" s="188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</row>
    <row r="808" ht="21.0" customHeight="1">
      <c r="A808" s="188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</row>
    <row r="809" ht="21.0" customHeight="1">
      <c r="A809" s="188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</row>
    <row r="810" ht="21.0" customHeight="1">
      <c r="A810" s="188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</row>
    <row r="811" ht="21.0" customHeight="1">
      <c r="A811" s="188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</row>
    <row r="812" ht="21.0" customHeight="1">
      <c r="A812" s="188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</row>
    <row r="813" ht="21.0" customHeight="1">
      <c r="A813" s="188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</row>
    <row r="814" ht="21.0" customHeight="1">
      <c r="A814" s="188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</row>
    <row r="815" ht="21.0" customHeight="1">
      <c r="A815" s="188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</row>
    <row r="816" ht="21.0" customHeight="1">
      <c r="A816" s="188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</row>
    <row r="817" ht="21.0" customHeight="1">
      <c r="A817" s="188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</row>
    <row r="818" ht="21.0" customHeight="1">
      <c r="A818" s="188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</row>
    <row r="819" ht="21.0" customHeight="1">
      <c r="A819" s="188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</row>
    <row r="820" ht="21.0" customHeight="1">
      <c r="A820" s="188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</row>
    <row r="821" ht="21.0" customHeight="1">
      <c r="A821" s="188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</row>
    <row r="822" ht="21.0" customHeight="1">
      <c r="A822" s="188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</row>
    <row r="823" ht="21.0" customHeight="1">
      <c r="A823" s="188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</row>
    <row r="824" ht="21.0" customHeight="1">
      <c r="A824" s="188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</row>
    <row r="825" ht="21.0" customHeight="1">
      <c r="A825" s="188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</row>
    <row r="826" ht="21.0" customHeight="1">
      <c r="A826" s="188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</row>
    <row r="827" ht="21.0" customHeight="1">
      <c r="A827" s="188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</row>
    <row r="828" ht="21.0" customHeight="1">
      <c r="A828" s="188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</row>
    <row r="829" ht="21.0" customHeight="1">
      <c r="A829" s="188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</row>
    <row r="830" ht="21.0" customHeight="1">
      <c r="A830" s="188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</row>
    <row r="831" ht="21.0" customHeight="1">
      <c r="A831" s="188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</row>
    <row r="832" ht="21.0" customHeight="1">
      <c r="A832" s="188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</row>
    <row r="833" ht="21.0" customHeight="1">
      <c r="A833" s="188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</row>
    <row r="834" ht="21.0" customHeight="1">
      <c r="A834" s="188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</row>
    <row r="835" ht="21.0" customHeight="1">
      <c r="A835" s="188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</row>
    <row r="836" ht="21.0" customHeight="1">
      <c r="A836" s="188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</row>
    <row r="837" ht="21.0" customHeight="1">
      <c r="A837" s="188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</row>
    <row r="838" ht="21.0" customHeight="1">
      <c r="A838" s="188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</row>
    <row r="839" ht="21.0" customHeight="1">
      <c r="A839" s="188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</row>
    <row r="840" ht="21.0" customHeight="1">
      <c r="A840" s="188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</row>
    <row r="841" ht="21.0" customHeight="1">
      <c r="A841" s="188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</row>
    <row r="842" ht="21.0" customHeight="1">
      <c r="A842" s="188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</row>
    <row r="843" ht="21.0" customHeight="1">
      <c r="A843" s="188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</row>
    <row r="844" ht="21.0" customHeight="1">
      <c r="A844" s="188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</row>
    <row r="845" ht="21.0" customHeight="1">
      <c r="A845" s="188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</row>
    <row r="846" ht="21.0" customHeight="1">
      <c r="A846" s="188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</row>
    <row r="847" ht="21.0" customHeight="1">
      <c r="A847" s="188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</row>
    <row r="848" ht="21.0" customHeight="1">
      <c r="A848" s="188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</row>
    <row r="849" ht="21.0" customHeight="1">
      <c r="A849" s="188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</row>
    <row r="850" ht="21.0" customHeight="1">
      <c r="A850" s="188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</row>
    <row r="851" ht="21.0" customHeight="1">
      <c r="A851" s="188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</row>
    <row r="852" ht="21.0" customHeight="1">
      <c r="A852" s="188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</row>
    <row r="853" ht="21.0" customHeight="1">
      <c r="A853" s="188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</row>
    <row r="854" ht="21.0" customHeight="1">
      <c r="A854" s="188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</row>
    <row r="855" ht="21.0" customHeight="1">
      <c r="A855" s="188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</row>
    <row r="856" ht="21.0" customHeight="1">
      <c r="A856" s="188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</row>
    <row r="857" ht="21.0" customHeight="1">
      <c r="A857" s="188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</row>
    <row r="858" ht="21.0" customHeight="1">
      <c r="A858" s="188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</row>
    <row r="859" ht="21.0" customHeight="1">
      <c r="A859" s="188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</row>
    <row r="860" ht="21.0" customHeight="1">
      <c r="A860" s="188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</row>
    <row r="861" ht="21.0" customHeight="1">
      <c r="A861" s="188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</row>
    <row r="862" ht="21.0" customHeight="1">
      <c r="A862" s="188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</row>
    <row r="863" ht="21.0" customHeight="1">
      <c r="A863" s="188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</row>
    <row r="864" ht="21.0" customHeight="1">
      <c r="A864" s="188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</row>
    <row r="865" ht="21.0" customHeight="1">
      <c r="A865" s="188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</row>
    <row r="866" ht="21.0" customHeight="1">
      <c r="A866" s="188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</row>
    <row r="867" ht="21.0" customHeight="1">
      <c r="A867" s="188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</row>
  </sheetData>
  <mergeCells count="47">
    <mergeCell ref="O9:R9"/>
    <mergeCell ref="S9:V9"/>
    <mergeCell ref="W9:Z9"/>
    <mergeCell ref="B10:E10"/>
    <mergeCell ref="A11:A21"/>
    <mergeCell ref="A22:A32"/>
    <mergeCell ref="A33:A37"/>
    <mergeCell ref="A38:A41"/>
    <mergeCell ref="A43:B43"/>
    <mergeCell ref="D1:J2"/>
    <mergeCell ref="U2:X2"/>
    <mergeCell ref="D3:P5"/>
    <mergeCell ref="U3:X3"/>
    <mergeCell ref="U4:X4"/>
    <mergeCell ref="B9:J9"/>
    <mergeCell ref="K9:N9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9:J39"/>
    <mergeCell ref="B40:J40"/>
    <mergeCell ref="B41:J41"/>
    <mergeCell ref="B32:J32"/>
    <mergeCell ref="B33:J33"/>
    <mergeCell ref="B34:J34"/>
    <mergeCell ref="B35:J35"/>
    <mergeCell ref="B36:J36"/>
    <mergeCell ref="B37:J37"/>
    <mergeCell ref="B38:J38"/>
  </mergeCells>
  <conditionalFormatting sqref="Y7 L12 M14 O18 P20:P21 P23 Q24:Z26 S30:Z32">
    <cfRule type="colorScale" priority="1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3" width="5.75"/>
    <col customWidth="1" min="14" max="14" width="7.13"/>
    <col customWidth="1" min="15" max="15" width="5.63"/>
    <col customWidth="1" min="16" max="16" width="6.88"/>
    <col customWidth="1" min="17" max="19" width="5.63"/>
  </cols>
  <sheetData>
    <row r="1"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>
      <c r="A2" s="19" t="s">
        <v>130</v>
      </c>
      <c r="H2" s="20"/>
      <c r="I2" s="20"/>
    </row>
    <row r="3">
      <c r="C3" s="20" t="s">
        <v>131</v>
      </c>
      <c r="I3" s="20"/>
    </row>
    <row r="5">
      <c r="D5" s="21" t="s">
        <v>132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24" t="s">
        <v>9</v>
      </c>
    </row>
    <row r="6">
      <c r="D6" s="25" t="s">
        <v>12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6">
        <v>2.0</v>
      </c>
    </row>
    <row r="7">
      <c r="D7" s="25" t="s">
        <v>133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6">
        <v>2.0</v>
      </c>
    </row>
    <row r="8">
      <c r="D8" s="25" t="s">
        <v>134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4" t="s">
        <v>9</v>
      </c>
    </row>
    <row r="9">
      <c r="D9" s="25" t="s">
        <v>135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6">
        <v>2.0</v>
      </c>
    </row>
    <row r="10">
      <c r="D10" s="25" t="s">
        <v>136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6">
        <v>4.0</v>
      </c>
    </row>
    <row r="11">
      <c r="D11" s="25" t="s">
        <v>15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 t="s">
        <v>9</v>
      </c>
    </row>
    <row r="12">
      <c r="D12" s="25" t="s">
        <v>137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 t="s">
        <v>9</v>
      </c>
    </row>
    <row r="13">
      <c r="D13" s="25" t="s">
        <v>18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 t="s">
        <v>9</v>
      </c>
    </row>
    <row r="14">
      <c r="O14" s="189" t="s">
        <v>138</v>
      </c>
      <c r="P14" s="190">
        <v>399.0</v>
      </c>
    </row>
    <row r="15">
      <c r="C15" s="20" t="s">
        <v>139</v>
      </c>
      <c r="I15" s="20"/>
    </row>
    <row r="17">
      <c r="D17" s="21" t="s">
        <v>132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4" t="s">
        <v>9</v>
      </c>
    </row>
    <row r="18">
      <c r="D18" s="25" t="s">
        <v>12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6">
        <v>3.0</v>
      </c>
      <c r="Q18" s="31"/>
      <c r="R18" s="31"/>
      <c r="S18" s="31"/>
    </row>
    <row r="19">
      <c r="D19" s="25" t="s">
        <v>133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6">
        <v>3.0</v>
      </c>
      <c r="Q19" s="31"/>
      <c r="R19" s="31"/>
      <c r="S19" s="31"/>
    </row>
    <row r="20">
      <c r="D20" s="25" t="s">
        <v>134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 t="s">
        <v>9</v>
      </c>
      <c r="Q20" s="31"/>
      <c r="R20" s="31"/>
      <c r="S20" s="31"/>
    </row>
    <row r="21">
      <c r="D21" s="25" t="s">
        <v>13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6">
        <v>4.0</v>
      </c>
      <c r="Q21" s="32"/>
      <c r="R21" s="32"/>
      <c r="S21" s="32"/>
    </row>
    <row r="22">
      <c r="D22" s="25" t="s">
        <v>14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6">
        <v>4.0</v>
      </c>
      <c r="Q22" s="32"/>
      <c r="R22" s="32"/>
      <c r="S22" s="32"/>
    </row>
    <row r="23">
      <c r="D23" s="25" t="s">
        <v>15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 t="s">
        <v>9</v>
      </c>
    </row>
    <row r="24">
      <c r="D24" s="25" t="s">
        <v>137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191"/>
      <c r="P24" s="27" t="s">
        <v>9</v>
      </c>
    </row>
    <row r="25">
      <c r="D25" s="25" t="s">
        <v>18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 t="s">
        <v>9</v>
      </c>
    </row>
    <row r="26">
      <c r="D26" s="192" t="s">
        <v>140</v>
      </c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3"/>
      <c r="P26" s="51" t="s">
        <v>9</v>
      </c>
    </row>
    <row r="27">
      <c r="D27" s="194"/>
      <c r="E27" s="195" t="s">
        <v>141</v>
      </c>
      <c r="F27" s="22"/>
      <c r="G27" s="22"/>
      <c r="H27" s="22"/>
      <c r="I27" s="22"/>
      <c r="J27" s="22"/>
      <c r="K27" s="22"/>
      <c r="L27" s="194"/>
      <c r="M27" s="194"/>
      <c r="N27" s="194"/>
      <c r="O27" s="196"/>
      <c r="P27" s="22"/>
    </row>
    <row r="28">
      <c r="O28" s="189" t="s">
        <v>138</v>
      </c>
      <c r="P28" s="190">
        <v>699.0</v>
      </c>
    </row>
    <row r="29">
      <c r="C29" s="20" t="s">
        <v>142</v>
      </c>
    </row>
    <row r="31">
      <c r="D31" s="21" t="s">
        <v>132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4"/>
      <c r="P31" s="191" t="s">
        <v>9</v>
      </c>
    </row>
    <row r="32">
      <c r="D32" s="25" t="s">
        <v>12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191"/>
      <c r="P32" s="26">
        <v>4.0</v>
      </c>
    </row>
    <row r="33">
      <c r="D33" s="25" t="s">
        <v>133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191"/>
      <c r="P33" s="26">
        <v>4.0</v>
      </c>
    </row>
    <row r="34">
      <c r="D34" s="25" t="s">
        <v>134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191"/>
      <c r="P34" s="191" t="s">
        <v>9</v>
      </c>
    </row>
    <row r="35">
      <c r="D35" s="25" t="s">
        <v>13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191"/>
      <c r="P35" s="26">
        <v>6.0</v>
      </c>
    </row>
    <row r="36">
      <c r="D36" s="25" t="s">
        <v>14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191"/>
      <c r="P36" s="26">
        <v>4.0</v>
      </c>
    </row>
    <row r="37">
      <c r="D37" s="25" t="s">
        <v>15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191"/>
      <c r="P37" s="191" t="s">
        <v>9</v>
      </c>
    </row>
    <row r="38">
      <c r="D38" s="25" t="s">
        <v>137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191"/>
      <c r="P38" s="191" t="s">
        <v>9</v>
      </c>
    </row>
    <row r="39">
      <c r="D39" s="25" t="s">
        <v>18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191"/>
      <c r="P39" s="191" t="s">
        <v>9</v>
      </c>
    </row>
    <row r="40">
      <c r="D40" s="192" t="s">
        <v>140</v>
      </c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3"/>
      <c r="P40" s="51" t="s">
        <v>9</v>
      </c>
    </row>
    <row r="41">
      <c r="D41" s="194"/>
      <c r="E41" s="195" t="s">
        <v>143</v>
      </c>
      <c r="F41" s="22"/>
      <c r="G41" s="22"/>
      <c r="H41" s="22"/>
      <c r="I41" s="22"/>
      <c r="J41" s="22"/>
      <c r="K41" s="22"/>
      <c r="L41" s="194"/>
      <c r="M41" s="194"/>
      <c r="N41" s="194"/>
      <c r="O41" s="196"/>
      <c r="P41" s="22"/>
    </row>
    <row r="42">
      <c r="K42" s="197"/>
      <c r="L42" s="197"/>
      <c r="M42" s="197"/>
      <c r="N42" s="197"/>
      <c r="O42" s="197" t="s">
        <v>138</v>
      </c>
      <c r="P42" s="198">
        <v>999.0</v>
      </c>
    </row>
    <row r="43">
      <c r="C43" s="20" t="s">
        <v>144</v>
      </c>
    </row>
    <row r="45">
      <c r="D45" s="21" t="s">
        <v>132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3"/>
      <c r="P45" s="191" t="s">
        <v>9</v>
      </c>
    </row>
    <row r="46">
      <c r="D46" s="25" t="s">
        <v>12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6">
        <v>5.0</v>
      </c>
    </row>
    <row r="47">
      <c r="D47" s="25" t="s">
        <v>133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54"/>
      <c r="P47" s="26">
        <v>5.0</v>
      </c>
    </row>
    <row r="48">
      <c r="D48" s="25" t="s">
        <v>134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56"/>
      <c r="P48" s="26" t="s">
        <v>9</v>
      </c>
    </row>
    <row r="49">
      <c r="D49" s="25" t="s">
        <v>13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58"/>
      <c r="P49" s="26">
        <v>10.0</v>
      </c>
    </row>
    <row r="50">
      <c r="D50" s="25" t="s">
        <v>14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56"/>
      <c r="P50" s="26">
        <v>4.0</v>
      </c>
    </row>
    <row r="51">
      <c r="D51" s="25" t="s">
        <v>15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56"/>
      <c r="P51" s="191" t="s">
        <v>9</v>
      </c>
    </row>
    <row r="52">
      <c r="D52" s="25" t="s">
        <v>137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191" t="s">
        <v>9</v>
      </c>
    </row>
    <row r="53">
      <c r="D53" s="25" t="s">
        <v>18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191" t="s">
        <v>9</v>
      </c>
    </row>
    <row r="54">
      <c r="D54" s="192" t="s">
        <v>140</v>
      </c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3"/>
      <c r="P54" s="51" t="s">
        <v>9</v>
      </c>
      <c r="S54" s="199"/>
    </row>
    <row r="55">
      <c r="D55" s="194"/>
      <c r="E55" s="195" t="s">
        <v>145</v>
      </c>
      <c r="F55" s="22"/>
      <c r="G55" s="22"/>
      <c r="H55" s="22"/>
      <c r="I55" s="22"/>
      <c r="J55" s="22"/>
      <c r="K55" s="22"/>
      <c r="L55" s="194"/>
      <c r="M55" s="194"/>
      <c r="N55" s="194"/>
      <c r="O55" s="196"/>
      <c r="P55" s="22"/>
      <c r="S55" s="199"/>
    </row>
    <row r="56">
      <c r="D56" s="25" t="s">
        <v>146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4" t="s">
        <v>9</v>
      </c>
      <c r="S56" s="199"/>
    </row>
    <row r="57">
      <c r="D57" s="25" t="s">
        <v>147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4" t="s">
        <v>148</v>
      </c>
      <c r="S57" s="199"/>
    </row>
    <row r="58">
      <c r="D58" s="200"/>
      <c r="E58" s="54"/>
      <c r="F58" s="54"/>
      <c r="G58" s="54"/>
      <c r="H58" s="54"/>
      <c r="I58" s="59"/>
      <c r="J58" s="201"/>
      <c r="K58" s="58"/>
      <c r="L58" s="58"/>
      <c r="M58" s="58"/>
      <c r="N58" s="58"/>
      <c r="O58" s="202" t="s">
        <v>138</v>
      </c>
      <c r="P58" s="203">
        <v>2.449</v>
      </c>
      <c r="Q58" s="199"/>
      <c r="R58" s="199"/>
      <c r="S58" s="199"/>
    </row>
  </sheetData>
  <mergeCells count="15">
    <mergeCell ref="C29:I30"/>
    <mergeCell ref="D31:N31"/>
    <mergeCell ref="P40:P41"/>
    <mergeCell ref="E41:K41"/>
    <mergeCell ref="C43:I44"/>
    <mergeCell ref="D45:N45"/>
    <mergeCell ref="P54:P55"/>
    <mergeCell ref="E55:K55"/>
    <mergeCell ref="A2:A58"/>
    <mergeCell ref="C3:G4"/>
    <mergeCell ref="D5:N5"/>
    <mergeCell ref="C15:G16"/>
    <mergeCell ref="D17:N17"/>
    <mergeCell ref="P26:P27"/>
    <mergeCell ref="E27:K27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5.75"/>
    <col customWidth="1" min="8" max="8" width="7.88"/>
    <col customWidth="1" min="9" max="13" width="5.75"/>
    <col customWidth="1" min="14" max="14" width="7.13"/>
    <col customWidth="1" min="15" max="15" width="5.63"/>
    <col customWidth="1" min="16" max="16" width="7.38"/>
    <col customWidth="1" min="17" max="17" width="5.63"/>
  </cols>
  <sheetData>
    <row r="1">
      <c r="H1" s="18"/>
      <c r="I1" s="204"/>
      <c r="J1" s="18"/>
      <c r="K1" s="18"/>
      <c r="L1" s="18"/>
      <c r="M1" s="18"/>
      <c r="N1" s="18"/>
      <c r="O1" s="18"/>
      <c r="P1" s="204"/>
      <c r="Q1" s="18"/>
    </row>
    <row r="2">
      <c r="A2" s="19" t="s">
        <v>149</v>
      </c>
      <c r="H2" s="20"/>
      <c r="I2" s="205"/>
      <c r="P2" s="98"/>
    </row>
    <row r="3">
      <c r="C3" s="20" t="s">
        <v>150</v>
      </c>
      <c r="P3" s="98"/>
    </row>
    <row r="4">
      <c r="P4" s="98"/>
    </row>
    <row r="5">
      <c r="D5" s="206" t="s">
        <v>151</v>
      </c>
      <c r="E5" s="22"/>
      <c r="F5" s="22"/>
      <c r="G5" s="22"/>
      <c r="H5" s="22"/>
      <c r="I5" s="207">
        <v>2.0</v>
      </c>
      <c r="J5" s="76"/>
      <c r="K5" s="206" t="s">
        <v>152</v>
      </c>
      <c r="L5" s="22"/>
      <c r="M5" s="22"/>
      <c r="N5" s="22"/>
      <c r="O5" s="22"/>
      <c r="P5" s="208" t="s">
        <v>9</v>
      </c>
    </row>
    <row r="6">
      <c r="D6" s="209" t="s">
        <v>153</v>
      </c>
      <c r="E6" s="22"/>
      <c r="F6" s="22"/>
      <c r="G6" s="22"/>
      <c r="H6" s="22"/>
      <c r="I6" s="210" t="s">
        <v>9</v>
      </c>
      <c r="J6" s="61"/>
      <c r="K6" s="211" t="s">
        <v>154</v>
      </c>
      <c r="L6" s="22"/>
      <c r="M6" s="22"/>
      <c r="N6" s="22"/>
      <c r="O6" s="22"/>
      <c r="P6" s="212" t="s">
        <v>9</v>
      </c>
    </row>
    <row r="7">
      <c r="D7" s="211" t="s">
        <v>155</v>
      </c>
      <c r="E7" s="22"/>
      <c r="F7" s="22"/>
      <c r="G7" s="22"/>
      <c r="H7" s="22"/>
      <c r="I7" s="210" t="s">
        <v>9</v>
      </c>
      <c r="J7" s="61"/>
      <c r="K7" s="213" t="s">
        <v>156</v>
      </c>
      <c r="L7" s="22"/>
      <c r="M7" s="22"/>
      <c r="N7" s="22"/>
      <c r="O7" s="22"/>
      <c r="P7" s="212" t="s">
        <v>9</v>
      </c>
    </row>
    <row r="8">
      <c r="D8" s="214" t="s">
        <v>157</v>
      </c>
      <c r="E8" s="22"/>
      <c r="F8" s="22"/>
      <c r="G8" s="22"/>
      <c r="H8" s="22"/>
      <c r="I8" s="210" t="s">
        <v>9</v>
      </c>
      <c r="J8" s="61"/>
      <c r="K8" s="206" t="s">
        <v>158</v>
      </c>
      <c r="L8" s="22"/>
      <c r="M8" s="22"/>
      <c r="N8" s="22"/>
      <c r="O8" s="22"/>
      <c r="P8" s="212" t="s">
        <v>9</v>
      </c>
    </row>
    <row r="9">
      <c r="D9" s="215" t="s">
        <v>159</v>
      </c>
      <c r="E9" s="22"/>
      <c r="F9" s="22"/>
      <c r="G9" s="22"/>
      <c r="H9" s="22"/>
      <c r="I9" s="210" t="s">
        <v>9</v>
      </c>
      <c r="J9" s="61"/>
      <c r="K9" s="206" t="s">
        <v>160</v>
      </c>
      <c r="L9" s="22"/>
      <c r="M9" s="22"/>
      <c r="N9" s="22"/>
      <c r="O9" s="22"/>
      <c r="P9" s="212" t="s">
        <v>9</v>
      </c>
    </row>
    <row r="10">
      <c r="D10" s="209" t="s">
        <v>161</v>
      </c>
      <c r="E10" s="22"/>
      <c r="F10" s="22"/>
      <c r="G10" s="22"/>
      <c r="H10" s="22"/>
      <c r="I10" s="210" t="s">
        <v>9</v>
      </c>
      <c r="J10" s="61"/>
      <c r="K10" s="211" t="s">
        <v>162</v>
      </c>
      <c r="L10" s="22"/>
      <c r="M10" s="22"/>
      <c r="N10" s="22"/>
      <c r="O10" s="22"/>
      <c r="P10" s="212" t="s">
        <v>9</v>
      </c>
    </row>
    <row r="11">
      <c r="D11" s="206" t="s">
        <v>163</v>
      </c>
      <c r="E11" s="22"/>
      <c r="F11" s="22"/>
      <c r="G11" s="22"/>
      <c r="H11" s="22"/>
      <c r="I11" s="210">
        <v>1.0</v>
      </c>
      <c r="J11" s="61"/>
      <c r="K11" s="206" t="s">
        <v>164</v>
      </c>
      <c r="L11" s="22"/>
      <c r="M11" s="22"/>
      <c r="N11" s="22"/>
      <c r="O11" s="22"/>
      <c r="P11" s="212" t="s">
        <v>165</v>
      </c>
    </row>
    <row r="12">
      <c r="D12" s="206" t="s">
        <v>166</v>
      </c>
      <c r="E12" s="22"/>
      <c r="F12" s="22"/>
      <c r="G12" s="22"/>
      <c r="H12" s="22"/>
      <c r="I12" s="210" t="s">
        <v>9</v>
      </c>
      <c r="J12" s="61"/>
      <c r="K12" s="209" t="s">
        <v>167</v>
      </c>
      <c r="L12" s="22"/>
      <c r="M12" s="22"/>
      <c r="N12" s="22"/>
      <c r="O12" s="22"/>
      <c r="P12" s="212" t="s">
        <v>165</v>
      </c>
    </row>
    <row r="13">
      <c r="D13" s="206" t="s">
        <v>168</v>
      </c>
      <c r="E13" s="22"/>
      <c r="F13" s="22"/>
      <c r="G13" s="22"/>
      <c r="H13" s="22"/>
      <c r="I13" s="210" t="s">
        <v>9</v>
      </c>
      <c r="J13" s="76"/>
      <c r="K13" s="209" t="s">
        <v>169</v>
      </c>
      <c r="L13" s="22"/>
      <c r="M13" s="22"/>
      <c r="N13" s="22"/>
      <c r="O13" s="22"/>
      <c r="P13" s="212" t="s">
        <v>165</v>
      </c>
    </row>
    <row r="14">
      <c r="C14" s="216"/>
      <c r="D14" s="76"/>
      <c r="E14" s="76"/>
      <c r="F14" s="76"/>
      <c r="G14" s="76"/>
      <c r="H14" s="76"/>
      <c r="I14" s="128"/>
      <c r="J14" s="61"/>
      <c r="K14" s="217" t="s">
        <v>138</v>
      </c>
      <c r="P14" s="218">
        <v>449.0</v>
      </c>
    </row>
    <row r="15">
      <c r="C15" s="20" t="s">
        <v>139</v>
      </c>
      <c r="P15" s="98"/>
      <c r="Q15" s="31"/>
    </row>
    <row r="16">
      <c r="P16" s="98"/>
      <c r="Q16" s="31"/>
    </row>
    <row r="17">
      <c r="D17" s="206" t="s">
        <v>151</v>
      </c>
      <c r="E17" s="22"/>
      <c r="F17" s="22"/>
      <c r="G17" s="22"/>
      <c r="H17" s="22"/>
      <c r="I17" s="219">
        <v>4.0</v>
      </c>
      <c r="J17" s="76"/>
      <c r="K17" s="206" t="s">
        <v>152</v>
      </c>
      <c r="L17" s="22"/>
      <c r="M17" s="22"/>
      <c r="N17" s="22"/>
      <c r="O17" s="22"/>
      <c r="P17" s="208" t="s">
        <v>9</v>
      </c>
      <c r="Q17" s="31"/>
    </row>
    <row r="18">
      <c r="D18" s="209" t="s">
        <v>153</v>
      </c>
      <c r="E18" s="22"/>
      <c r="F18" s="22"/>
      <c r="G18" s="22"/>
      <c r="H18" s="22"/>
      <c r="I18" s="210" t="s">
        <v>9</v>
      </c>
      <c r="J18" s="61"/>
      <c r="K18" s="211" t="s">
        <v>154</v>
      </c>
      <c r="L18" s="22"/>
      <c r="M18" s="22"/>
      <c r="N18" s="22"/>
      <c r="O18" s="22"/>
      <c r="P18" s="212" t="s">
        <v>9</v>
      </c>
      <c r="Q18" s="32"/>
    </row>
    <row r="19">
      <c r="D19" s="211" t="s">
        <v>155</v>
      </c>
      <c r="E19" s="22"/>
      <c r="F19" s="22"/>
      <c r="G19" s="22"/>
      <c r="H19" s="22"/>
      <c r="I19" s="210" t="s">
        <v>9</v>
      </c>
      <c r="J19" s="61"/>
      <c r="K19" s="213" t="s">
        <v>170</v>
      </c>
      <c r="L19" s="22"/>
      <c r="M19" s="22"/>
      <c r="N19" s="22"/>
      <c r="O19" s="22"/>
      <c r="P19" s="212" t="s">
        <v>9</v>
      </c>
      <c r="Q19" s="32"/>
    </row>
    <row r="20">
      <c r="D20" s="214" t="s">
        <v>171</v>
      </c>
      <c r="E20" s="22"/>
      <c r="F20" s="22"/>
      <c r="G20" s="22"/>
      <c r="H20" s="22"/>
      <c r="I20" s="210" t="s">
        <v>9</v>
      </c>
      <c r="J20" s="61"/>
      <c r="K20" s="206" t="s">
        <v>158</v>
      </c>
      <c r="L20" s="22"/>
      <c r="M20" s="22"/>
      <c r="N20" s="22"/>
      <c r="O20" s="22"/>
      <c r="P20" s="212" t="s">
        <v>9</v>
      </c>
      <c r="Q20" s="32"/>
    </row>
    <row r="21">
      <c r="D21" s="215" t="s">
        <v>172</v>
      </c>
      <c r="E21" s="22"/>
      <c r="F21" s="22"/>
      <c r="G21" s="22"/>
      <c r="H21" s="22"/>
      <c r="I21" s="210" t="s">
        <v>9</v>
      </c>
      <c r="J21" s="61"/>
      <c r="K21" s="206" t="s">
        <v>160</v>
      </c>
      <c r="L21" s="22"/>
      <c r="M21" s="22"/>
      <c r="N21" s="22"/>
      <c r="O21" s="22"/>
      <c r="P21" s="212" t="s">
        <v>9</v>
      </c>
      <c r="Q21" s="32"/>
    </row>
    <row r="22">
      <c r="D22" s="209" t="s">
        <v>161</v>
      </c>
      <c r="E22" s="22"/>
      <c r="F22" s="22"/>
      <c r="G22" s="22"/>
      <c r="H22" s="22"/>
      <c r="I22" s="210" t="s">
        <v>9</v>
      </c>
      <c r="J22" s="61"/>
      <c r="K22" s="211" t="s">
        <v>162</v>
      </c>
      <c r="L22" s="22"/>
      <c r="M22" s="22"/>
      <c r="N22" s="22"/>
      <c r="O22" s="22"/>
      <c r="P22" s="212" t="s">
        <v>9</v>
      </c>
      <c r="Q22" s="32"/>
    </row>
    <row r="23">
      <c r="D23" s="206" t="s">
        <v>163</v>
      </c>
      <c r="E23" s="22"/>
      <c r="F23" s="22"/>
      <c r="G23" s="22"/>
      <c r="H23" s="22"/>
      <c r="I23" s="220">
        <v>2.0</v>
      </c>
      <c r="J23" s="61"/>
      <c r="K23" s="206" t="s">
        <v>164</v>
      </c>
      <c r="L23" s="22"/>
      <c r="M23" s="22"/>
      <c r="N23" s="22"/>
      <c r="O23" s="22"/>
      <c r="P23" s="212" t="s">
        <v>165</v>
      </c>
      <c r="Q23" s="32"/>
    </row>
    <row r="24">
      <c r="D24" s="206" t="s">
        <v>166</v>
      </c>
      <c r="E24" s="22"/>
      <c r="F24" s="22"/>
      <c r="G24" s="22"/>
      <c r="H24" s="22"/>
      <c r="I24" s="210" t="s">
        <v>9</v>
      </c>
      <c r="J24" s="61"/>
      <c r="K24" s="209" t="s">
        <v>167</v>
      </c>
      <c r="L24" s="22"/>
      <c r="M24" s="22"/>
      <c r="N24" s="22"/>
      <c r="O24" s="22"/>
      <c r="P24" s="212" t="s">
        <v>165</v>
      </c>
      <c r="Q24" s="32"/>
    </row>
    <row r="25">
      <c r="D25" s="206" t="s">
        <v>168</v>
      </c>
      <c r="E25" s="22"/>
      <c r="F25" s="22"/>
      <c r="G25" s="22"/>
      <c r="H25" s="22"/>
      <c r="I25" s="210" t="s">
        <v>9</v>
      </c>
      <c r="J25" s="76"/>
      <c r="K25" s="209" t="s">
        <v>169</v>
      </c>
      <c r="L25" s="22"/>
      <c r="M25" s="22"/>
      <c r="N25" s="22"/>
      <c r="O25" s="22"/>
      <c r="P25" s="212" t="s">
        <v>165</v>
      </c>
      <c r="Q25" s="32"/>
    </row>
    <row r="26">
      <c r="D26" s="76"/>
      <c r="E26" s="76"/>
      <c r="F26" s="76"/>
      <c r="G26" s="76"/>
      <c r="H26" s="76"/>
      <c r="I26" s="128"/>
      <c r="J26" s="61"/>
      <c r="K26" s="217" t="s">
        <v>138</v>
      </c>
      <c r="P26" s="218">
        <v>809.0</v>
      </c>
    </row>
    <row r="27">
      <c r="C27" s="20" t="s">
        <v>173</v>
      </c>
      <c r="P27" s="98"/>
    </row>
    <row r="28">
      <c r="P28" s="98"/>
    </row>
    <row r="29">
      <c r="D29" s="206" t="s">
        <v>151</v>
      </c>
      <c r="E29" s="22"/>
      <c r="F29" s="22"/>
      <c r="G29" s="22"/>
      <c r="H29" s="22"/>
      <c r="I29" s="219">
        <v>6.0</v>
      </c>
      <c r="J29" s="76"/>
      <c r="K29" s="206" t="s">
        <v>152</v>
      </c>
      <c r="L29" s="22"/>
      <c r="M29" s="22"/>
      <c r="N29" s="22"/>
      <c r="O29" s="22"/>
      <c r="P29" s="208" t="s">
        <v>9</v>
      </c>
    </row>
    <row r="30">
      <c r="D30" s="209" t="s">
        <v>153</v>
      </c>
      <c r="E30" s="22"/>
      <c r="F30" s="22"/>
      <c r="G30" s="22"/>
      <c r="H30" s="22"/>
      <c r="I30" s="210" t="s">
        <v>9</v>
      </c>
      <c r="J30" s="61"/>
      <c r="K30" s="211" t="s">
        <v>154</v>
      </c>
      <c r="L30" s="22"/>
      <c r="M30" s="22"/>
      <c r="N30" s="22"/>
      <c r="O30" s="22"/>
      <c r="P30" s="212" t="s">
        <v>9</v>
      </c>
    </row>
    <row r="31">
      <c r="D31" s="211" t="s">
        <v>155</v>
      </c>
      <c r="E31" s="22"/>
      <c r="F31" s="22"/>
      <c r="G31" s="22"/>
      <c r="H31" s="22"/>
      <c r="I31" s="210" t="s">
        <v>9</v>
      </c>
      <c r="J31" s="61"/>
      <c r="K31" s="213" t="s">
        <v>174</v>
      </c>
      <c r="L31" s="22"/>
      <c r="M31" s="22"/>
      <c r="N31" s="22"/>
      <c r="O31" s="22"/>
      <c r="P31" s="212" t="s">
        <v>9</v>
      </c>
    </row>
    <row r="32">
      <c r="D32" s="214" t="s">
        <v>175</v>
      </c>
      <c r="E32" s="22"/>
      <c r="F32" s="22"/>
      <c r="G32" s="22"/>
      <c r="H32" s="22"/>
      <c r="I32" s="210" t="s">
        <v>9</v>
      </c>
      <c r="J32" s="61"/>
      <c r="K32" s="206" t="s">
        <v>158</v>
      </c>
      <c r="L32" s="22"/>
      <c r="M32" s="22"/>
      <c r="N32" s="22"/>
      <c r="O32" s="22"/>
      <c r="P32" s="212" t="s">
        <v>9</v>
      </c>
    </row>
    <row r="33">
      <c r="D33" s="215" t="s">
        <v>176</v>
      </c>
      <c r="E33" s="22"/>
      <c r="F33" s="22"/>
      <c r="G33" s="22"/>
      <c r="H33" s="22"/>
      <c r="I33" s="210" t="s">
        <v>9</v>
      </c>
      <c r="J33" s="61"/>
      <c r="K33" s="206" t="s">
        <v>160</v>
      </c>
      <c r="L33" s="22"/>
      <c r="M33" s="22"/>
      <c r="N33" s="22"/>
      <c r="O33" s="22"/>
      <c r="P33" s="212" t="s">
        <v>9</v>
      </c>
    </row>
    <row r="34">
      <c r="D34" s="209" t="s">
        <v>161</v>
      </c>
      <c r="E34" s="22"/>
      <c r="F34" s="22"/>
      <c r="G34" s="22"/>
      <c r="H34" s="22"/>
      <c r="I34" s="210" t="s">
        <v>9</v>
      </c>
      <c r="J34" s="61"/>
      <c r="K34" s="211" t="s">
        <v>162</v>
      </c>
      <c r="L34" s="22"/>
      <c r="M34" s="22"/>
      <c r="N34" s="22"/>
      <c r="O34" s="22"/>
      <c r="P34" s="212" t="s">
        <v>9</v>
      </c>
    </row>
    <row r="35">
      <c r="D35" s="206" t="s">
        <v>163</v>
      </c>
      <c r="E35" s="22"/>
      <c r="F35" s="22"/>
      <c r="G35" s="22"/>
      <c r="H35" s="22"/>
      <c r="I35" s="220">
        <v>3.0</v>
      </c>
      <c r="J35" s="61"/>
      <c r="K35" s="209" t="s">
        <v>177</v>
      </c>
      <c r="L35" s="22"/>
      <c r="M35" s="22"/>
      <c r="N35" s="22"/>
      <c r="O35" s="22"/>
      <c r="P35" s="212" t="s">
        <v>9</v>
      </c>
    </row>
    <row r="36">
      <c r="D36" s="209" t="s">
        <v>8</v>
      </c>
      <c r="E36" s="22"/>
      <c r="F36" s="22"/>
      <c r="G36" s="22"/>
      <c r="H36" s="22"/>
      <c r="I36" s="210" t="s">
        <v>9</v>
      </c>
      <c r="J36" s="61"/>
      <c r="K36" s="206" t="s">
        <v>164</v>
      </c>
      <c r="L36" s="22"/>
      <c r="M36" s="22"/>
      <c r="N36" s="22"/>
      <c r="O36" s="22"/>
      <c r="P36" s="212" t="s">
        <v>165</v>
      </c>
    </row>
    <row r="37">
      <c r="D37" s="206" t="s">
        <v>166</v>
      </c>
      <c r="E37" s="22"/>
      <c r="F37" s="22"/>
      <c r="G37" s="22"/>
      <c r="H37" s="22"/>
      <c r="I37" s="210" t="s">
        <v>9</v>
      </c>
      <c r="J37" s="76"/>
      <c r="K37" s="209" t="s">
        <v>167</v>
      </c>
      <c r="L37" s="22"/>
      <c r="M37" s="22"/>
      <c r="N37" s="22"/>
      <c r="O37" s="22"/>
      <c r="P37" s="212" t="s">
        <v>165</v>
      </c>
    </row>
    <row r="38">
      <c r="D38" s="206" t="s">
        <v>168</v>
      </c>
      <c r="E38" s="22"/>
      <c r="F38" s="22"/>
      <c r="G38" s="22"/>
      <c r="H38" s="22"/>
      <c r="I38" s="210" t="s">
        <v>9</v>
      </c>
      <c r="J38" s="51"/>
      <c r="K38" s="206" t="s">
        <v>178</v>
      </c>
      <c r="L38" s="22"/>
      <c r="M38" s="22"/>
      <c r="N38" s="22"/>
      <c r="O38" s="22"/>
      <c r="P38" s="212" t="s">
        <v>165</v>
      </c>
    </row>
    <row r="39">
      <c r="I39" s="98"/>
      <c r="J39" s="201"/>
      <c r="K39" s="217" t="s">
        <v>138</v>
      </c>
      <c r="P39" s="218">
        <v>1.259</v>
      </c>
    </row>
    <row r="40">
      <c r="I40" s="98"/>
      <c r="J40" s="201"/>
      <c r="P40" s="98"/>
    </row>
    <row r="41">
      <c r="C41" s="20" t="s">
        <v>144</v>
      </c>
      <c r="P41" s="98"/>
    </row>
    <row r="42">
      <c r="P42" s="98"/>
    </row>
    <row r="43">
      <c r="D43" s="206" t="s">
        <v>151</v>
      </c>
      <c r="E43" s="22"/>
      <c r="F43" s="22"/>
      <c r="G43" s="22"/>
      <c r="H43" s="22"/>
      <c r="I43" s="219">
        <v>8.0</v>
      </c>
      <c r="J43" s="76"/>
      <c r="K43" s="206" t="s">
        <v>152</v>
      </c>
      <c r="L43" s="22"/>
      <c r="M43" s="22"/>
      <c r="N43" s="22"/>
      <c r="O43" s="22"/>
      <c r="P43" s="208" t="s">
        <v>9</v>
      </c>
    </row>
    <row r="44">
      <c r="D44" s="209" t="s">
        <v>153</v>
      </c>
      <c r="E44" s="22"/>
      <c r="F44" s="22"/>
      <c r="G44" s="22"/>
      <c r="H44" s="22"/>
      <c r="I44" s="210" t="s">
        <v>9</v>
      </c>
      <c r="J44" s="61"/>
      <c r="K44" s="211" t="s">
        <v>154</v>
      </c>
      <c r="L44" s="22"/>
      <c r="M44" s="22"/>
      <c r="N44" s="22"/>
      <c r="O44" s="22"/>
      <c r="P44" s="212" t="s">
        <v>9</v>
      </c>
    </row>
    <row r="45">
      <c r="D45" s="211" t="s">
        <v>155</v>
      </c>
      <c r="E45" s="22"/>
      <c r="F45" s="22"/>
      <c r="G45" s="22"/>
      <c r="H45" s="22"/>
      <c r="I45" s="210" t="s">
        <v>9</v>
      </c>
      <c r="J45" s="61"/>
      <c r="K45" s="213" t="s">
        <v>179</v>
      </c>
      <c r="L45" s="22"/>
      <c r="M45" s="22"/>
      <c r="N45" s="22"/>
      <c r="O45" s="22"/>
      <c r="P45" s="212" t="s">
        <v>9</v>
      </c>
    </row>
    <row r="46">
      <c r="D46" s="214" t="s">
        <v>180</v>
      </c>
      <c r="E46" s="22"/>
      <c r="F46" s="22"/>
      <c r="G46" s="22"/>
      <c r="H46" s="22"/>
      <c r="I46" s="210" t="s">
        <v>9</v>
      </c>
      <c r="J46" s="61"/>
      <c r="K46" s="206" t="s">
        <v>158</v>
      </c>
      <c r="L46" s="22"/>
      <c r="M46" s="22"/>
      <c r="N46" s="22"/>
      <c r="O46" s="22"/>
      <c r="P46" s="212" t="s">
        <v>9</v>
      </c>
    </row>
    <row r="47">
      <c r="D47" s="215" t="s">
        <v>181</v>
      </c>
      <c r="E47" s="22"/>
      <c r="F47" s="22"/>
      <c r="G47" s="22"/>
      <c r="H47" s="22"/>
      <c r="I47" s="210" t="s">
        <v>9</v>
      </c>
      <c r="J47" s="61"/>
      <c r="K47" s="206" t="s">
        <v>160</v>
      </c>
      <c r="L47" s="22"/>
      <c r="M47" s="22"/>
      <c r="N47" s="22"/>
      <c r="O47" s="22"/>
      <c r="P47" s="212" t="s">
        <v>9</v>
      </c>
    </row>
    <row r="48">
      <c r="D48" s="215" t="s">
        <v>182</v>
      </c>
      <c r="E48" s="22"/>
      <c r="F48" s="22"/>
      <c r="G48" s="22"/>
      <c r="H48" s="22"/>
      <c r="I48" s="210" t="s">
        <v>9</v>
      </c>
      <c r="J48" s="61"/>
      <c r="K48" s="211" t="s">
        <v>162</v>
      </c>
      <c r="L48" s="22"/>
      <c r="M48" s="22"/>
      <c r="N48" s="22"/>
      <c r="O48" s="22"/>
      <c r="P48" s="212" t="s">
        <v>9</v>
      </c>
    </row>
    <row r="49">
      <c r="D49" s="209" t="s">
        <v>161</v>
      </c>
      <c r="E49" s="22"/>
      <c r="F49" s="22"/>
      <c r="G49" s="22"/>
      <c r="H49" s="22"/>
      <c r="I49" s="210" t="s">
        <v>9</v>
      </c>
      <c r="J49" s="61"/>
      <c r="K49" s="209" t="s">
        <v>177</v>
      </c>
      <c r="L49" s="22"/>
      <c r="M49" s="22"/>
      <c r="N49" s="22"/>
      <c r="O49" s="22"/>
      <c r="P49" s="212" t="s">
        <v>9</v>
      </c>
    </row>
    <row r="50">
      <c r="D50" s="206" t="s">
        <v>163</v>
      </c>
      <c r="E50" s="22"/>
      <c r="F50" s="22"/>
      <c r="G50" s="22"/>
      <c r="H50" s="22"/>
      <c r="I50" s="220">
        <v>5.0</v>
      </c>
      <c r="J50" s="61"/>
      <c r="K50" s="206" t="s">
        <v>164</v>
      </c>
      <c r="L50" s="22"/>
      <c r="M50" s="22"/>
      <c r="N50" s="22"/>
      <c r="O50" s="22"/>
      <c r="P50" s="212" t="s">
        <v>165</v>
      </c>
    </row>
    <row r="51">
      <c r="D51" s="209" t="s">
        <v>8</v>
      </c>
      <c r="E51" s="22"/>
      <c r="F51" s="22"/>
      <c r="G51" s="22"/>
      <c r="H51" s="22"/>
      <c r="I51" s="210" t="s">
        <v>9</v>
      </c>
      <c r="J51" s="61"/>
      <c r="K51" s="209" t="s">
        <v>167</v>
      </c>
      <c r="L51" s="22"/>
      <c r="M51" s="22"/>
      <c r="N51" s="22"/>
      <c r="O51" s="22"/>
      <c r="P51" s="212" t="s">
        <v>165</v>
      </c>
    </row>
    <row r="52">
      <c r="D52" s="209" t="s">
        <v>183</v>
      </c>
      <c r="E52" s="22"/>
      <c r="F52" s="22"/>
      <c r="G52" s="22"/>
      <c r="H52" s="22"/>
      <c r="I52" s="210" t="s">
        <v>9</v>
      </c>
      <c r="J52" s="76"/>
      <c r="K52" s="209" t="s">
        <v>169</v>
      </c>
      <c r="L52" s="22"/>
      <c r="M52" s="22"/>
      <c r="N52" s="22"/>
      <c r="O52" s="22"/>
      <c r="P52" s="212" t="s">
        <v>165</v>
      </c>
    </row>
    <row r="53">
      <c r="D53" s="206" t="s">
        <v>166</v>
      </c>
      <c r="E53" s="22"/>
      <c r="F53" s="22"/>
      <c r="G53" s="22"/>
      <c r="H53" s="22"/>
      <c r="I53" s="210" t="s">
        <v>9</v>
      </c>
      <c r="J53" s="51"/>
      <c r="K53" s="221" t="s">
        <v>184</v>
      </c>
      <c r="L53" s="22"/>
      <c r="M53" s="22"/>
      <c r="N53" s="22"/>
      <c r="O53" s="22"/>
      <c r="P53" s="212" t="s">
        <v>9</v>
      </c>
    </row>
    <row r="54">
      <c r="D54" s="206" t="s">
        <v>168</v>
      </c>
      <c r="E54" s="22"/>
      <c r="F54" s="22"/>
      <c r="G54" s="22"/>
      <c r="H54" s="22"/>
      <c r="I54" s="210" t="s">
        <v>9</v>
      </c>
      <c r="J54" s="51"/>
      <c r="K54" s="217" t="s">
        <v>138</v>
      </c>
      <c r="P54" s="218">
        <v>2.269</v>
      </c>
    </row>
    <row r="55">
      <c r="A55" s="19"/>
      <c r="D55" s="222"/>
      <c r="E55" s="222"/>
      <c r="F55" s="222"/>
      <c r="G55" s="222"/>
      <c r="H55" s="222"/>
      <c r="I55" s="223"/>
      <c r="J55" s="51"/>
      <c r="K55" s="217"/>
      <c r="L55" s="217"/>
      <c r="M55" s="217"/>
      <c r="N55" s="217"/>
      <c r="O55" s="217"/>
      <c r="P55" s="218"/>
    </row>
  </sheetData>
  <mergeCells count="88">
    <mergeCell ref="D7:H7"/>
    <mergeCell ref="D8:H8"/>
    <mergeCell ref="D6:H6"/>
    <mergeCell ref="D9:H9"/>
    <mergeCell ref="K9:O9"/>
    <mergeCell ref="D10:H10"/>
    <mergeCell ref="K10:O10"/>
    <mergeCell ref="D11:H11"/>
    <mergeCell ref="K11:O11"/>
    <mergeCell ref="D12:H12"/>
    <mergeCell ref="K12:O12"/>
    <mergeCell ref="D13:H13"/>
    <mergeCell ref="K13:O13"/>
    <mergeCell ref="D17:H17"/>
    <mergeCell ref="K17:O17"/>
    <mergeCell ref="D18:H18"/>
    <mergeCell ref="K18:O18"/>
    <mergeCell ref="D19:H19"/>
    <mergeCell ref="K19:O19"/>
    <mergeCell ref="D20:H20"/>
    <mergeCell ref="K20:O20"/>
    <mergeCell ref="D21:H21"/>
    <mergeCell ref="K21:O21"/>
    <mergeCell ref="D22:H22"/>
    <mergeCell ref="K22:O22"/>
    <mergeCell ref="D23:H23"/>
    <mergeCell ref="K23:O23"/>
    <mergeCell ref="D24:H24"/>
    <mergeCell ref="K24:O24"/>
    <mergeCell ref="K14:O14"/>
    <mergeCell ref="C15:I16"/>
    <mergeCell ref="D25:H25"/>
    <mergeCell ref="K25:O25"/>
    <mergeCell ref="D29:H29"/>
    <mergeCell ref="K29:O29"/>
    <mergeCell ref="D30:H30"/>
    <mergeCell ref="K30:O30"/>
    <mergeCell ref="D31:H31"/>
    <mergeCell ref="K31:O31"/>
    <mergeCell ref="D32:H32"/>
    <mergeCell ref="K32:O32"/>
    <mergeCell ref="D33:H33"/>
    <mergeCell ref="K33:O33"/>
    <mergeCell ref="K26:O26"/>
    <mergeCell ref="C27:I28"/>
    <mergeCell ref="D34:H34"/>
    <mergeCell ref="K34:O34"/>
    <mergeCell ref="D35:H35"/>
    <mergeCell ref="K35:O35"/>
    <mergeCell ref="D36:H36"/>
    <mergeCell ref="K36:O36"/>
    <mergeCell ref="D37:H37"/>
    <mergeCell ref="K37:O37"/>
    <mergeCell ref="D38:H38"/>
    <mergeCell ref="K38:O38"/>
    <mergeCell ref="D43:H43"/>
    <mergeCell ref="K43:O43"/>
    <mergeCell ref="K39:O39"/>
    <mergeCell ref="C41:I42"/>
    <mergeCell ref="D51:H51"/>
    <mergeCell ref="K51:O51"/>
    <mergeCell ref="D52:H52"/>
    <mergeCell ref="K52:O52"/>
    <mergeCell ref="D53:H53"/>
    <mergeCell ref="K53:O53"/>
    <mergeCell ref="D54:H54"/>
    <mergeCell ref="K54:O54"/>
    <mergeCell ref="A2:A54"/>
    <mergeCell ref="C3:I4"/>
    <mergeCell ref="D5:H5"/>
    <mergeCell ref="K5:O5"/>
    <mergeCell ref="K6:O6"/>
    <mergeCell ref="K7:O7"/>
    <mergeCell ref="K8:O8"/>
    <mergeCell ref="D44:H44"/>
    <mergeCell ref="K44:O44"/>
    <mergeCell ref="D45:H45"/>
    <mergeCell ref="K45:O45"/>
    <mergeCell ref="D46:H46"/>
    <mergeCell ref="K46:O46"/>
    <mergeCell ref="D47:H47"/>
    <mergeCell ref="K47:O47"/>
    <mergeCell ref="D48:H48"/>
    <mergeCell ref="K48:O48"/>
    <mergeCell ref="D49:H49"/>
    <mergeCell ref="K49:O49"/>
    <mergeCell ref="D50:H50"/>
    <mergeCell ref="K50:O5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5.75"/>
    <col customWidth="1" min="8" max="8" width="7.88"/>
    <col customWidth="1" min="9" max="13" width="5.75"/>
    <col customWidth="1" min="14" max="14" width="7.13"/>
    <col customWidth="1" min="15" max="15" width="5.63"/>
    <col customWidth="1" min="16" max="16" width="7.75"/>
    <col customWidth="1" min="17" max="22" width="5.63"/>
  </cols>
  <sheetData>
    <row r="1">
      <c r="H1" s="18"/>
      <c r="I1" s="204"/>
      <c r="J1" s="18"/>
      <c r="K1" s="18"/>
      <c r="L1" s="18"/>
      <c r="M1" s="18"/>
      <c r="N1" s="18"/>
      <c r="O1" s="18"/>
      <c r="P1" s="204"/>
      <c r="Q1" s="18"/>
      <c r="R1" s="18"/>
      <c r="S1" s="18"/>
      <c r="T1" s="18"/>
      <c r="U1" s="18"/>
      <c r="V1" s="18"/>
    </row>
    <row r="2">
      <c r="A2" s="19" t="s">
        <v>185</v>
      </c>
      <c r="H2" s="20"/>
      <c r="I2" s="205"/>
      <c r="P2" s="98"/>
    </row>
    <row r="3">
      <c r="C3" s="20" t="s">
        <v>186</v>
      </c>
      <c r="P3" s="98"/>
    </row>
    <row r="4">
      <c r="P4" s="98"/>
    </row>
    <row r="5">
      <c r="D5" s="224" t="s">
        <v>187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5" t="s">
        <v>9</v>
      </c>
    </row>
    <row r="6">
      <c r="D6" s="25" t="s">
        <v>188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6" t="s">
        <v>9</v>
      </c>
    </row>
    <row r="7">
      <c r="D7" s="25" t="s">
        <v>189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7" t="s">
        <v>190</v>
      </c>
    </row>
    <row r="8">
      <c r="D8" s="25" t="s">
        <v>191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6" t="s">
        <v>9</v>
      </c>
    </row>
    <row r="9">
      <c r="D9" s="25" t="s">
        <v>51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6" t="s">
        <v>9</v>
      </c>
    </row>
    <row r="10">
      <c r="D10" s="25" t="s">
        <v>192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6" t="s">
        <v>9</v>
      </c>
    </row>
    <row r="11">
      <c r="D11" s="221" t="s">
        <v>193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6" t="s">
        <v>9</v>
      </c>
    </row>
    <row r="12">
      <c r="C12" s="216"/>
      <c r="D12" s="25" t="s">
        <v>137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6" t="s">
        <v>9</v>
      </c>
    </row>
    <row r="13">
      <c r="D13" s="217" t="s">
        <v>138</v>
      </c>
      <c r="P13" s="218">
        <v>149.0</v>
      </c>
    </row>
    <row r="14">
      <c r="C14" s="20" t="s">
        <v>139</v>
      </c>
      <c r="P14" s="98"/>
    </row>
    <row r="15">
      <c r="P15" s="98"/>
    </row>
    <row r="16">
      <c r="D16" s="224" t="s">
        <v>187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5" t="s">
        <v>9</v>
      </c>
    </row>
    <row r="17">
      <c r="D17" s="25" t="s">
        <v>188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6" t="s">
        <v>9</v>
      </c>
    </row>
    <row r="18">
      <c r="D18" s="25" t="s">
        <v>189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7" t="s">
        <v>194</v>
      </c>
    </row>
    <row r="19">
      <c r="D19" s="25" t="s">
        <v>191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6" t="s">
        <v>9</v>
      </c>
    </row>
    <row r="20">
      <c r="D20" s="25" t="s">
        <v>195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6" t="s">
        <v>9</v>
      </c>
    </row>
    <row r="21">
      <c r="D21" s="25" t="s">
        <v>51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6" t="s">
        <v>9</v>
      </c>
    </row>
    <row r="22">
      <c r="D22" s="25" t="s">
        <v>192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6" t="s">
        <v>9</v>
      </c>
    </row>
    <row r="23">
      <c r="D23" s="221" t="s">
        <v>193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6" t="s">
        <v>9</v>
      </c>
    </row>
    <row r="24">
      <c r="C24" s="216"/>
      <c r="D24" s="25" t="s">
        <v>137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6" t="s">
        <v>9</v>
      </c>
    </row>
    <row r="25">
      <c r="D25" s="217" t="s">
        <v>138</v>
      </c>
      <c r="P25" s="218">
        <v>299.0</v>
      </c>
      <c r="Q25" s="31"/>
      <c r="R25" s="31"/>
      <c r="S25" s="31"/>
      <c r="T25" s="31"/>
      <c r="U25" s="31"/>
      <c r="V25" s="31"/>
    </row>
    <row r="26">
      <c r="C26" s="20" t="s">
        <v>196</v>
      </c>
      <c r="P26" s="98"/>
      <c r="Q26" s="31"/>
      <c r="R26" s="31"/>
      <c r="S26" s="31"/>
      <c r="T26" s="31"/>
      <c r="U26" s="31"/>
      <c r="V26" s="31"/>
    </row>
    <row r="27">
      <c r="P27" s="98"/>
      <c r="Q27" s="31"/>
      <c r="R27" s="31"/>
      <c r="S27" s="31"/>
      <c r="T27" s="31"/>
      <c r="U27" s="31"/>
      <c r="V27" s="31"/>
    </row>
    <row r="28">
      <c r="D28" s="224" t="s">
        <v>187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5" t="s">
        <v>9</v>
      </c>
      <c r="Q28" s="31"/>
      <c r="R28" s="31"/>
      <c r="S28" s="31"/>
      <c r="T28" s="31"/>
      <c r="U28" s="31"/>
      <c r="V28" s="31"/>
    </row>
    <row r="29">
      <c r="D29" s="25" t="s">
        <v>188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6" t="s">
        <v>9</v>
      </c>
      <c r="Q29" s="31"/>
      <c r="R29" s="31"/>
      <c r="S29" s="31"/>
      <c r="T29" s="31"/>
      <c r="U29" s="31"/>
      <c r="V29" s="31"/>
    </row>
    <row r="30">
      <c r="D30" s="25" t="s">
        <v>189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7">
        <v>10.0</v>
      </c>
      <c r="Q30" s="32"/>
      <c r="R30" s="32"/>
      <c r="S30" s="32"/>
      <c r="T30" s="32"/>
      <c r="U30" s="32"/>
      <c r="V30" s="32"/>
    </row>
    <row r="31">
      <c r="D31" s="25" t="s">
        <v>191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6" t="s">
        <v>9</v>
      </c>
      <c r="Q31" s="32"/>
      <c r="R31" s="32"/>
      <c r="S31" s="32"/>
      <c r="T31" s="32"/>
      <c r="U31" s="32"/>
      <c r="V31" s="32"/>
    </row>
    <row r="32">
      <c r="D32" s="25" t="s">
        <v>195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6" t="s">
        <v>9</v>
      </c>
      <c r="Q32" s="32"/>
      <c r="R32" s="32"/>
      <c r="S32" s="32"/>
      <c r="T32" s="32"/>
      <c r="U32" s="32"/>
      <c r="V32" s="32"/>
    </row>
    <row r="33">
      <c r="D33" s="55" t="s">
        <v>197</v>
      </c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6" t="s">
        <v>9</v>
      </c>
      <c r="Q33" s="32"/>
      <c r="R33" s="32"/>
      <c r="S33" s="32"/>
      <c r="T33" s="32"/>
      <c r="U33" s="32"/>
      <c r="V33" s="32"/>
    </row>
    <row r="34">
      <c r="D34" s="25" t="s">
        <v>198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6" t="s">
        <v>9</v>
      </c>
      <c r="Q34" s="32"/>
      <c r="R34" s="32"/>
      <c r="S34" s="32"/>
      <c r="T34" s="32"/>
      <c r="U34" s="32"/>
      <c r="V34" s="32"/>
    </row>
    <row r="35">
      <c r="D35" s="25" t="s">
        <v>51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6" t="s">
        <v>9</v>
      </c>
      <c r="Q35" s="32"/>
      <c r="R35" s="32"/>
      <c r="S35" s="32"/>
      <c r="T35" s="32"/>
      <c r="U35" s="32"/>
      <c r="V35" s="32"/>
    </row>
    <row r="36">
      <c r="D36" s="25" t="s">
        <v>192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6" t="s">
        <v>9</v>
      </c>
      <c r="Q36" s="32"/>
      <c r="R36" s="32"/>
      <c r="S36" s="32"/>
      <c r="T36" s="32"/>
      <c r="U36" s="32"/>
      <c r="V36" s="32"/>
    </row>
    <row r="37">
      <c r="C37" s="216"/>
      <c r="D37" s="25" t="s">
        <v>199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6" t="s">
        <v>9</v>
      </c>
      <c r="Q37" s="32"/>
      <c r="R37" s="32"/>
      <c r="S37" s="32"/>
      <c r="T37" s="32"/>
      <c r="U37" s="32"/>
      <c r="V37" s="32"/>
    </row>
    <row r="38">
      <c r="C38" s="20"/>
      <c r="D38" s="221" t="s">
        <v>193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6" t="s">
        <v>9</v>
      </c>
      <c r="Q38" s="32"/>
      <c r="R38" s="32"/>
      <c r="S38" s="32"/>
      <c r="T38" s="32"/>
      <c r="U38" s="32"/>
      <c r="V38" s="32"/>
    </row>
    <row r="39">
      <c r="D39" s="25" t="s">
        <v>137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6" t="s">
        <v>9</v>
      </c>
      <c r="Q39" s="32"/>
      <c r="R39" s="32"/>
      <c r="S39" s="32"/>
      <c r="T39" s="32"/>
      <c r="U39" s="32"/>
      <c r="V39" s="32"/>
    </row>
    <row r="40">
      <c r="D40" s="217" t="s">
        <v>138</v>
      </c>
      <c r="P40" s="218">
        <v>599.0</v>
      </c>
      <c r="Q40" s="31"/>
      <c r="R40" s="32"/>
      <c r="S40" s="32"/>
      <c r="T40" s="32"/>
      <c r="U40" s="32"/>
      <c r="V40" s="32"/>
    </row>
    <row r="41">
      <c r="C41" s="20" t="s">
        <v>144</v>
      </c>
      <c r="P41" s="98"/>
      <c r="Q41" s="32"/>
      <c r="R41" s="32"/>
      <c r="S41" s="32"/>
      <c r="T41" s="32"/>
      <c r="U41" s="32"/>
      <c r="V41" s="32"/>
    </row>
    <row r="42">
      <c r="P42" s="98"/>
    </row>
    <row r="43">
      <c r="C43" s="229"/>
      <c r="D43" s="70" t="s">
        <v>187</v>
      </c>
      <c r="E43" s="22"/>
      <c r="F43" s="22"/>
      <c r="G43" s="22"/>
      <c r="H43" s="22"/>
      <c r="I43" s="230" t="s">
        <v>9</v>
      </c>
      <c r="J43" s="66"/>
      <c r="K43" s="70" t="s">
        <v>200</v>
      </c>
      <c r="L43" s="22"/>
      <c r="M43" s="22"/>
      <c r="N43" s="22"/>
      <c r="O43" s="22"/>
      <c r="P43" s="230" t="s">
        <v>9</v>
      </c>
    </row>
    <row r="44">
      <c r="C44" s="229"/>
      <c r="D44" s="70" t="s">
        <v>188</v>
      </c>
      <c r="E44" s="22"/>
      <c r="F44" s="22"/>
      <c r="G44" s="22"/>
      <c r="H44" s="22"/>
      <c r="I44" s="231" t="s">
        <v>9</v>
      </c>
      <c r="J44" s="66"/>
      <c r="K44" s="21" t="s">
        <v>201</v>
      </c>
      <c r="L44" s="22"/>
      <c r="M44" s="22"/>
      <c r="N44" s="22"/>
      <c r="O44" s="22"/>
      <c r="P44" s="231" t="s">
        <v>9</v>
      </c>
    </row>
    <row r="45">
      <c r="C45" s="229"/>
      <c r="D45" s="70" t="s">
        <v>189</v>
      </c>
      <c r="E45" s="22"/>
      <c r="F45" s="22"/>
      <c r="G45" s="22"/>
      <c r="H45" s="22"/>
      <c r="I45" s="232">
        <v>15.0</v>
      </c>
      <c r="J45" s="66"/>
      <c r="K45" s="21" t="s">
        <v>198</v>
      </c>
      <c r="L45" s="22"/>
      <c r="M45" s="22"/>
      <c r="N45" s="22"/>
      <c r="O45" s="22"/>
      <c r="P45" s="233" t="s">
        <v>9</v>
      </c>
    </row>
    <row r="46">
      <c r="C46" s="229"/>
      <c r="D46" s="21" t="s">
        <v>191</v>
      </c>
      <c r="E46" s="22"/>
      <c r="F46" s="22"/>
      <c r="G46" s="22"/>
      <c r="H46" s="22"/>
      <c r="I46" s="233" t="s">
        <v>9</v>
      </c>
      <c r="J46" s="66"/>
      <c r="K46" s="21" t="s">
        <v>51</v>
      </c>
      <c r="L46" s="22"/>
      <c r="M46" s="22"/>
      <c r="N46" s="22"/>
      <c r="O46" s="22"/>
      <c r="P46" s="231" t="s">
        <v>9</v>
      </c>
      <c r="Q46" s="66"/>
    </row>
    <row r="47">
      <c r="C47" s="229"/>
      <c r="D47" s="21" t="s">
        <v>195</v>
      </c>
      <c r="E47" s="22"/>
      <c r="F47" s="22"/>
      <c r="G47" s="22"/>
      <c r="H47" s="22"/>
      <c r="I47" s="231" t="s">
        <v>9</v>
      </c>
      <c r="J47" s="66"/>
      <c r="K47" s="21" t="s">
        <v>192</v>
      </c>
      <c r="L47" s="22"/>
      <c r="M47" s="22"/>
      <c r="N47" s="22"/>
      <c r="O47" s="22"/>
      <c r="P47" s="231" t="s">
        <v>9</v>
      </c>
      <c r="Q47" s="66"/>
    </row>
    <row r="48">
      <c r="C48" s="229"/>
      <c r="D48" s="234" t="s">
        <v>197</v>
      </c>
      <c r="E48" s="228"/>
      <c r="F48" s="228"/>
      <c r="G48" s="228"/>
      <c r="H48" s="228"/>
      <c r="I48" s="231" t="s">
        <v>9</v>
      </c>
      <c r="J48" s="66"/>
      <c r="K48" s="21" t="s">
        <v>199</v>
      </c>
      <c r="L48" s="22"/>
      <c r="M48" s="22"/>
      <c r="N48" s="22"/>
      <c r="O48" s="22"/>
      <c r="P48" s="231" t="s">
        <v>9</v>
      </c>
    </row>
    <row r="49">
      <c r="C49" s="229"/>
      <c r="D49" s="70" t="s">
        <v>202</v>
      </c>
      <c r="E49" s="22"/>
      <c r="F49" s="22"/>
      <c r="G49" s="22"/>
      <c r="H49" s="22"/>
      <c r="I49" s="231" t="s">
        <v>9</v>
      </c>
      <c r="J49" s="66"/>
      <c r="K49" s="21" t="s">
        <v>193</v>
      </c>
      <c r="L49" s="22"/>
      <c r="M49" s="22"/>
      <c r="N49" s="22"/>
      <c r="O49" s="22"/>
      <c r="P49" s="231" t="s">
        <v>9</v>
      </c>
    </row>
    <row r="50">
      <c r="C50" s="229"/>
      <c r="D50" s="70" t="s">
        <v>203</v>
      </c>
      <c r="E50" s="22"/>
      <c r="F50" s="22"/>
      <c r="G50" s="22"/>
      <c r="H50" s="22"/>
      <c r="I50" s="231" t="s">
        <v>9</v>
      </c>
      <c r="J50" s="66"/>
      <c r="K50" s="21" t="s">
        <v>137</v>
      </c>
      <c r="L50" s="22"/>
      <c r="M50" s="22"/>
      <c r="N50" s="22"/>
      <c r="O50" s="22"/>
      <c r="P50" s="231" t="s">
        <v>9</v>
      </c>
    </row>
    <row r="51">
      <c r="A51" s="19"/>
      <c r="C51" s="229"/>
      <c r="D51" s="70" t="s">
        <v>204</v>
      </c>
      <c r="E51" s="22"/>
      <c r="F51" s="22"/>
      <c r="G51" s="22"/>
      <c r="H51" s="22"/>
      <c r="I51" s="231" t="s">
        <v>9</v>
      </c>
      <c r="J51" s="66"/>
      <c r="K51" s="217" t="s">
        <v>138</v>
      </c>
      <c r="P51" s="218">
        <v>1009.0</v>
      </c>
    </row>
  </sheetData>
  <mergeCells count="57">
    <mergeCell ref="D10:O10"/>
    <mergeCell ref="D11:O11"/>
    <mergeCell ref="D12:O12"/>
    <mergeCell ref="D13:O13"/>
    <mergeCell ref="C14:I15"/>
    <mergeCell ref="D16:O16"/>
    <mergeCell ref="D17:O17"/>
    <mergeCell ref="D18:O18"/>
    <mergeCell ref="D19:O19"/>
    <mergeCell ref="D20:O20"/>
    <mergeCell ref="D21:O21"/>
    <mergeCell ref="D22:O22"/>
    <mergeCell ref="D23:O23"/>
    <mergeCell ref="D24:O24"/>
    <mergeCell ref="D25:O25"/>
    <mergeCell ref="C26:I27"/>
    <mergeCell ref="D28:O28"/>
    <mergeCell ref="D29:O29"/>
    <mergeCell ref="D30:O30"/>
    <mergeCell ref="D31:O31"/>
    <mergeCell ref="D32:O32"/>
    <mergeCell ref="D33:O33"/>
    <mergeCell ref="D34:O34"/>
    <mergeCell ref="D35:O35"/>
    <mergeCell ref="D36:O36"/>
    <mergeCell ref="D37:O37"/>
    <mergeCell ref="D38:O38"/>
    <mergeCell ref="D39:O39"/>
    <mergeCell ref="Q46:U46"/>
    <mergeCell ref="Q47:U47"/>
    <mergeCell ref="D40:O40"/>
    <mergeCell ref="C41:I42"/>
    <mergeCell ref="D50:H50"/>
    <mergeCell ref="K50:O50"/>
    <mergeCell ref="D51:H51"/>
    <mergeCell ref="K51:O51"/>
    <mergeCell ref="A2:A50"/>
    <mergeCell ref="C3:I4"/>
    <mergeCell ref="D5:O5"/>
    <mergeCell ref="D6:O6"/>
    <mergeCell ref="D7:O7"/>
    <mergeCell ref="D8:O8"/>
    <mergeCell ref="D9:O9"/>
    <mergeCell ref="D43:H43"/>
    <mergeCell ref="K43:O43"/>
    <mergeCell ref="D44:H44"/>
    <mergeCell ref="K44:O44"/>
    <mergeCell ref="D45:H45"/>
    <mergeCell ref="K45:O45"/>
    <mergeCell ref="D46:H46"/>
    <mergeCell ref="K46:O46"/>
    <mergeCell ref="D47:H47"/>
    <mergeCell ref="K47:O47"/>
    <mergeCell ref="D48:H48"/>
    <mergeCell ref="K48:O48"/>
    <mergeCell ref="D49:H49"/>
    <mergeCell ref="K49:O4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5.75"/>
    <col customWidth="1" min="8" max="8" width="7.88"/>
    <col customWidth="1" min="9" max="13" width="5.75"/>
    <col customWidth="1" min="14" max="14" width="7.13"/>
    <col customWidth="1" min="15" max="20" width="5.63"/>
  </cols>
  <sheetData>
    <row r="1"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>
      <c r="A2" s="19"/>
      <c r="C2" s="20" t="s">
        <v>186</v>
      </c>
    </row>
    <row r="4">
      <c r="D4" s="224" t="s">
        <v>205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4" t="s">
        <v>9</v>
      </c>
    </row>
    <row r="5">
      <c r="D5" s="224" t="s">
        <v>206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5" t="s">
        <v>9</v>
      </c>
    </row>
    <row r="6">
      <c r="D6" s="224" t="s">
        <v>207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35" t="s">
        <v>9</v>
      </c>
    </row>
    <row r="7">
      <c r="D7" s="224" t="s">
        <v>208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35" t="s">
        <v>190</v>
      </c>
    </row>
    <row r="8">
      <c r="D8" s="224" t="s">
        <v>209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5" t="s">
        <v>9</v>
      </c>
    </row>
    <row r="9">
      <c r="D9" s="224" t="s">
        <v>210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5" t="s">
        <v>9</v>
      </c>
    </row>
    <row r="10">
      <c r="D10" s="224" t="s">
        <v>58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5" t="s">
        <v>9</v>
      </c>
      <c r="Q10" s="192"/>
      <c r="R10" s="192"/>
      <c r="S10" s="192"/>
      <c r="T10" s="192"/>
    </row>
    <row r="11">
      <c r="D11" s="224" t="s">
        <v>193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5" t="s">
        <v>9</v>
      </c>
      <c r="Q11" s="192"/>
      <c r="R11" s="192"/>
      <c r="S11" s="192"/>
      <c r="T11" s="192"/>
    </row>
    <row r="12">
      <c r="C12" s="216"/>
      <c r="D12" s="224" t="s">
        <v>137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5" t="s">
        <v>9</v>
      </c>
    </row>
    <row r="13">
      <c r="D13" s="236" t="s">
        <v>138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237">
        <v>149.0</v>
      </c>
    </row>
    <row r="14">
      <c r="C14" s="20" t="s">
        <v>139</v>
      </c>
    </row>
    <row r="16">
      <c r="D16" s="224" t="s">
        <v>205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4" t="s">
        <v>9</v>
      </c>
    </row>
    <row r="17">
      <c r="D17" s="224" t="s">
        <v>206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5" t="s">
        <v>9</v>
      </c>
    </row>
    <row r="18">
      <c r="D18" s="224" t="s">
        <v>207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5" t="s">
        <v>9</v>
      </c>
    </row>
    <row r="19">
      <c r="D19" s="224" t="s">
        <v>208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5" t="s">
        <v>194</v>
      </c>
    </row>
    <row r="20">
      <c r="D20" s="224" t="s">
        <v>209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5" t="s">
        <v>9</v>
      </c>
    </row>
    <row r="21">
      <c r="D21" s="224" t="s">
        <v>210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5" t="s">
        <v>9</v>
      </c>
    </row>
    <row r="22">
      <c r="D22" s="224" t="s">
        <v>58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5" t="s">
        <v>9</v>
      </c>
    </row>
    <row r="23">
      <c r="D23" s="224" t="s">
        <v>193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5" t="s">
        <v>9</v>
      </c>
    </row>
    <row r="24">
      <c r="D24" s="224" t="s">
        <v>137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5" t="s">
        <v>9</v>
      </c>
    </row>
    <row r="25">
      <c r="C25" s="216"/>
      <c r="D25" s="236" t="s">
        <v>138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7">
        <v>299.0</v>
      </c>
    </row>
    <row r="26">
      <c r="C26" s="20" t="s">
        <v>142</v>
      </c>
    </row>
    <row r="28">
      <c r="D28" s="224" t="s">
        <v>205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4" t="s">
        <v>9</v>
      </c>
    </row>
    <row r="29">
      <c r="D29" s="224" t="s">
        <v>206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5" t="s">
        <v>9</v>
      </c>
    </row>
    <row r="30">
      <c r="D30" s="224" t="s">
        <v>207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5" t="s">
        <v>9</v>
      </c>
    </row>
    <row r="31">
      <c r="D31" s="224" t="s">
        <v>208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5" t="s">
        <v>211</v>
      </c>
      <c r="Q31" s="31"/>
      <c r="R31" s="31"/>
      <c r="S31" s="31"/>
      <c r="T31" s="31"/>
    </row>
    <row r="32">
      <c r="D32" s="224" t="s">
        <v>209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5" t="s">
        <v>9</v>
      </c>
      <c r="Q32" s="31"/>
      <c r="R32" s="31"/>
      <c r="S32" s="31"/>
      <c r="T32" s="31"/>
    </row>
    <row r="33">
      <c r="D33" s="224" t="s">
        <v>210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5" t="s">
        <v>9</v>
      </c>
      <c r="Q33" s="31"/>
      <c r="R33" s="31"/>
      <c r="S33" s="31"/>
      <c r="T33" s="31"/>
    </row>
    <row r="34">
      <c r="D34" s="224" t="s">
        <v>58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5" t="s">
        <v>9</v>
      </c>
      <c r="Q34" s="32"/>
      <c r="R34" s="32"/>
      <c r="S34" s="32"/>
      <c r="T34" s="32"/>
    </row>
    <row r="35">
      <c r="D35" s="224" t="s">
        <v>212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5" t="s">
        <v>9</v>
      </c>
      <c r="Q35" s="32"/>
      <c r="R35" s="32"/>
      <c r="S35" s="32"/>
      <c r="T35" s="32"/>
    </row>
    <row r="36">
      <c r="D36" s="224" t="s">
        <v>193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35" t="s">
        <v>9</v>
      </c>
      <c r="Q36" s="32"/>
      <c r="R36" s="32"/>
      <c r="S36" s="32"/>
      <c r="T36" s="32"/>
    </row>
    <row r="37">
      <c r="D37" s="224" t="s">
        <v>137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35" t="s">
        <v>9</v>
      </c>
      <c r="Q37" s="32"/>
      <c r="R37" s="32"/>
      <c r="S37" s="32"/>
      <c r="T37" s="32"/>
    </row>
    <row r="38">
      <c r="D38" s="224" t="s">
        <v>212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35" t="s">
        <v>9</v>
      </c>
      <c r="Q38" s="32"/>
      <c r="R38" s="32"/>
      <c r="S38" s="32"/>
      <c r="T38" s="32"/>
    </row>
    <row r="39">
      <c r="D39" s="236" t="s">
        <v>138</v>
      </c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237">
        <v>399.0</v>
      </c>
    </row>
    <row r="40">
      <c r="C40" s="20" t="s">
        <v>144</v>
      </c>
      <c r="Q40" s="238"/>
      <c r="R40" s="238"/>
      <c r="S40" s="238"/>
      <c r="T40" s="238"/>
    </row>
    <row r="41">
      <c r="Q41" s="238"/>
      <c r="R41" s="238"/>
      <c r="S41" s="238"/>
      <c r="T41" s="238"/>
    </row>
    <row r="42">
      <c r="D42" s="224" t="s">
        <v>205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4" t="s">
        <v>9</v>
      </c>
      <c r="Q42" s="238"/>
      <c r="R42" s="238"/>
      <c r="S42" s="238"/>
      <c r="T42" s="238"/>
    </row>
    <row r="43">
      <c r="D43" s="224" t="s">
        <v>206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35" t="s">
        <v>9</v>
      </c>
      <c r="Q43" s="238"/>
      <c r="R43" s="238"/>
      <c r="S43" s="238"/>
      <c r="T43" s="238"/>
    </row>
    <row r="44" ht="17.25" customHeight="1">
      <c r="D44" s="224" t="s">
        <v>207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35" t="s">
        <v>9</v>
      </c>
    </row>
    <row r="45">
      <c r="D45" s="224" t="s">
        <v>208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35" t="s">
        <v>213</v>
      </c>
    </row>
    <row r="46">
      <c r="D46" s="224" t="s">
        <v>214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35" t="s">
        <v>9</v>
      </c>
    </row>
    <row r="47">
      <c r="D47" s="224" t="s">
        <v>209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35" t="s">
        <v>9</v>
      </c>
    </row>
    <row r="48">
      <c r="D48" s="224" t="s">
        <v>215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35" t="s">
        <v>9</v>
      </c>
    </row>
    <row r="49">
      <c r="D49" s="224" t="s">
        <v>210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35" t="s">
        <v>9</v>
      </c>
    </row>
    <row r="50">
      <c r="D50" s="224" t="s">
        <v>58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35" t="s">
        <v>9</v>
      </c>
    </row>
    <row r="51">
      <c r="D51" s="224" t="s">
        <v>212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35" t="s">
        <v>9</v>
      </c>
    </row>
    <row r="52">
      <c r="D52" s="224" t="s">
        <v>193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35" t="s">
        <v>9</v>
      </c>
    </row>
    <row r="53">
      <c r="D53" s="224" t="s">
        <v>137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35" t="s">
        <v>9</v>
      </c>
    </row>
    <row r="54">
      <c r="D54" s="224" t="s">
        <v>212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35" t="s">
        <v>9</v>
      </c>
    </row>
    <row r="55">
      <c r="D55" s="224" t="s">
        <v>214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35" t="s">
        <v>9</v>
      </c>
    </row>
    <row r="56">
      <c r="C56" s="20"/>
      <c r="D56" s="236" t="s">
        <v>138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237">
        <v>759.0</v>
      </c>
    </row>
    <row r="57">
      <c r="C57" s="20"/>
      <c r="D57" s="20"/>
      <c r="E57" s="20"/>
      <c r="F57" s="20"/>
      <c r="G57" s="20"/>
      <c r="H57" s="20"/>
      <c r="I57" s="20"/>
    </row>
  </sheetData>
  <mergeCells count="52">
    <mergeCell ref="D9:O9"/>
    <mergeCell ref="D10:O10"/>
    <mergeCell ref="D11:O11"/>
    <mergeCell ref="D12:O12"/>
    <mergeCell ref="D16:O16"/>
    <mergeCell ref="D17:O17"/>
    <mergeCell ref="D18:O18"/>
    <mergeCell ref="D19:O19"/>
    <mergeCell ref="D20:O20"/>
    <mergeCell ref="D21:O21"/>
    <mergeCell ref="D22:O22"/>
    <mergeCell ref="D23:O23"/>
    <mergeCell ref="D24:O24"/>
    <mergeCell ref="D25:O25"/>
    <mergeCell ref="D13:O13"/>
    <mergeCell ref="C14:I15"/>
    <mergeCell ref="C26:I27"/>
    <mergeCell ref="D28:O28"/>
    <mergeCell ref="D29:O29"/>
    <mergeCell ref="D30:O30"/>
    <mergeCell ref="D31:O31"/>
    <mergeCell ref="D32:O32"/>
    <mergeCell ref="D33:O33"/>
    <mergeCell ref="D34:O34"/>
    <mergeCell ref="D35:O35"/>
    <mergeCell ref="D36:O36"/>
    <mergeCell ref="D37:O37"/>
    <mergeCell ref="D38:O38"/>
    <mergeCell ref="D39:O39"/>
    <mergeCell ref="C40:I41"/>
    <mergeCell ref="A2:A57"/>
    <mergeCell ref="C2:I3"/>
    <mergeCell ref="D4:O4"/>
    <mergeCell ref="D5:O5"/>
    <mergeCell ref="D6:O6"/>
    <mergeCell ref="D7:O7"/>
    <mergeCell ref="D8:O8"/>
    <mergeCell ref="D56:O56"/>
    <mergeCell ref="D42:O42"/>
    <mergeCell ref="D43:O43"/>
    <mergeCell ref="D44:O44"/>
    <mergeCell ref="D45:O45"/>
    <mergeCell ref="D46:O46"/>
    <mergeCell ref="D47:O47"/>
    <mergeCell ref="D48:O48"/>
    <mergeCell ref="D49:O49"/>
    <mergeCell ref="D50:O50"/>
    <mergeCell ref="D51:O51"/>
    <mergeCell ref="D52:O52"/>
    <mergeCell ref="D53:O53"/>
    <mergeCell ref="D54:O54"/>
    <mergeCell ref="D55:O5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5.75"/>
    <col customWidth="1" min="8" max="8" width="7.88"/>
    <col customWidth="1" min="9" max="13" width="5.75"/>
    <col customWidth="1" min="14" max="14" width="7.13"/>
    <col customWidth="1" min="15" max="17" width="5.63"/>
  </cols>
  <sheetData>
    <row r="1">
      <c r="H1" s="18"/>
      <c r="I1" s="18"/>
      <c r="J1" s="18"/>
      <c r="K1" s="18"/>
      <c r="L1" s="18"/>
      <c r="M1" s="18"/>
      <c r="N1" s="18"/>
      <c r="O1" s="18"/>
      <c r="P1" s="18"/>
      <c r="Q1" s="18"/>
    </row>
    <row r="2">
      <c r="A2" s="19" t="s">
        <v>216</v>
      </c>
      <c r="H2" s="20"/>
      <c r="I2" s="20"/>
    </row>
    <row r="3">
      <c r="C3" s="20" t="s">
        <v>186</v>
      </c>
    </row>
    <row r="4">
      <c r="P4" s="29"/>
    </row>
    <row r="5">
      <c r="D5" s="239" t="s">
        <v>217</v>
      </c>
      <c r="E5" s="22"/>
      <c r="F5" s="22"/>
      <c r="G5" s="22"/>
      <c r="H5" s="22"/>
      <c r="I5" s="240">
        <v>5.0</v>
      </c>
      <c r="J5" s="52"/>
      <c r="K5" s="239" t="s">
        <v>218</v>
      </c>
      <c r="L5" s="22"/>
      <c r="M5" s="22"/>
      <c r="N5" s="22"/>
      <c r="O5" s="22"/>
      <c r="P5" s="241" t="s">
        <v>9</v>
      </c>
    </row>
    <row r="6">
      <c r="D6" s="239" t="s">
        <v>219</v>
      </c>
      <c r="E6" s="22"/>
      <c r="F6" s="22"/>
      <c r="G6" s="22"/>
      <c r="H6" s="22"/>
      <c r="I6" s="242" t="s">
        <v>9</v>
      </c>
      <c r="J6" s="52"/>
      <c r="K6" s="239" t="s">
        <v>220</v>
      </c>
      <c r="L6" s="22"/>
      <c r="M6" s="22"/>
      <c r="N6" s="22"/>
      <c r="O6" s="22"/>
      <c r="P6" s="242" t="s">
        <v>9</v>
      </c>
    </row>
    <row r="7">
      <c r="D7" s="239" t="s">
        <v>221</v>
      </c>
      <c r="E7" s="22"/>
      <c r="F7" s="22"/>
      <c r="G7" s="22"/>
      <c r="H7" s="22"/>
      <c r="I7" s="242" t="s">
        <v>9</v>
      </c>
      <c r="J7" s="52"/>
      <c r="K7" s="239" t="s">
        <v>222</v>
      </c>
      <c r="L7" s="22"/>
      <c r="M7" s="22"/>
      <c r="N7" s="22"/>
      <c r="O7" s="22"/>
      <c r="P7" s="242" t="s">
        <v>9</v>
      </c>
    </row>
    <row r="8">
      <c r="D8" s="239" t="s">
        <v>223</v>
      </c>
      <c r="E8" s="22"/>
      <c r="F8" s="22"/>
      <c r="G8" s="22"/>
      <c r="H8" s="22"/>
      <c r="I8" s="242" t="s">
        <v>9</v>
      </c>
      <c r="J8" s="52"/>
      <c r="K8" s="239" t="s">
        <v>224</v>
      </c>
      <c r="L8" s="22"/>
      <c r="M8" s="22"/>
      <c r="N8" s="22"/>
      <c r="O8" s="22"/>
      <c r="P8" s="242" t="s">
        <v>9</v>
      </c>
    </row>
    <row r="9">
      <c r="D9" s="239" t="s">
        <v>225</v>
      </c>
      <c r="E9" s="22"/>
      <c r="F9" s="22"/>
      <c r="G9" s="22"/>
      <c r="H9" s="22"/>
      <c r="I9" s="242" t="s">
        <v>9</v>
      </c>
      <c r="J9" s="52"/>
      <c r="K9" s="239" t="s">
        <v>226</v>
      </c>
      <c r="L9" s="22"/>
      <c r="M9" s="22"/>
      <c r="N9" s="22"/>
      <c r="O9" s="22"/>
      <c r="P9" s="242" t="s">
        <v>9</v>
      </c>
    </row>
    <row r="10">
      <c r="D10" s="239" t="s">
        <v>227</v>
      </c>
      <c r="E10" s="22"/>
      <c r="F10" s="22"/>
      <c r="G10" s="22"/>
      <c r="H10" s="22"/>
      <c r="I10" s="242" t="s">
        <v>9</v>
      </c>
      <c r="J10" s="52"/>
      <c r="K10" s="239" t="s">
        <v>228</v>
      </c>
      <c r="L10" s="22"/>
      <c r="M10" s="22"/>
      <c r="N10" s="22"/>
      <c r="O10" s="22"/>
      <c r="P10" s="242" t="s">
        <v>9</v>
      </c>
      <c r="Q10" s="192"/>
    </row>
    <row r="11">
      <c r="D11" s="239" t="s">
        <v>229</v>
      </c>
      <c r="E11" s="22"/>
      <c r="F11" s="22"/>
      <c r="G11" s="22"/>
      <c r="H11" s="22"/>
      <c r="I11" s="242" t="s">
        <v>9</v>
      </c>
      <c r="J11" s="52"/>
      <c r="K11" s="239" t="s">
        <v>230</v>
      </c>
      <c r="L11" s="22"/>
      <c r="M11" s="22"/>
      <c r="N11" s="22"/>
      <c r="O11" s="22"/>
      <c r="P11" s="242" t="s">
        <v>9</v>
      </c>
      <c r="Q11" s="192"/>
    </row>
    <row r="12">
      <c r="C12" s="216"/>
      <c r="D12" s="239" t="s">
        <v>137</v>
      </c>
      <c r="E12" s="22"/>
      <c r="F12" s="22"/>
      <c r="G12" s="22"/>
      <c r="H12" s="22"/>
      <c r="I12" s="242" t="s">
        <v>9</v>
      </c>
      <c r="J12" s="52"/>
    </row>
    <row r="13">
      <c r="C13" s="216"/>
      <c r="D13" s="216"/>
      <c r="E13" s="216"/>
      <c r="F13" s="216"/>
      <c r="G13" s="216"/>
      <c r="H13" s="216"/>
      <c r="I13" s="243"/>
      <c r="J13" s="52"/>
      <c r="K13" s="217" t="s">
        <v>138</v>
      </c>
      <c r="P13" s="244">
        <v>199.0</v>
      </c>
    </row>
    <row r="14">
      <c r="C14" s="20" t="s">
        <v>139</v>
      </c>
    </row>
    <row r="16">
      <c r="D16" s="239" t="s">
        <v>217</v>
      </c>
      <c r="E16" s="22"/>
      <c r="F16" s="22"/>
      <c r="G16" s="22"/>
      <c r="H16" s="22"/>
      <c r="I16" s="240">
        <v>10.0</v>
      </c>
      <c r="J16" s="52"/>
      <c r="K16" s="239" t="s">
        <v>218</v>
      </c>
      <c r="L16" s="22"/>
      <c r="M16" s="22"/>
      <c r="N16" s="22"/>
      <c r="O16" s="22"/>
      <c r="P16" s="241" t="s">
        <v>9</v>
      </c>
    </row>
    <row r="17">
      <c r="D17" s="239" t="s">
        <v>219</v>
      </c>
      <c r="E17" s="22"/>
      <c r="F17" s="22"/>
      <c r="G17" s="22"/>
      <c r="H17" s="22"/>
      <c r="I17" s="242" t="s">
        <v>9</v>
      </c>
      <c r="J17" s="52"/>
      <c r="K17" s="239" t="s">
        <v>220</v>
      </c>
      <c r="L17" s="22"/>
      <c r="M17" s="22"/>
      <c r="N17" s="22"/>
      <c r="O17" s="22"/>
      <c r="P17" s="242" t="s">
        <v>9</v>
      </c>
    </row>
    <row r="18">
      <c r="D18" s="239" t="s">
        <v>221</v>
      </c>
      <c r="E18" s="22"/>
      <c r="F18" s="22"/>
      <c r="G18" s="22"/>
      <c r="H18" s="22"/>
      <c r="I18" s="242" t="s">
        <v>9</v>
      </c>
      <c r="J18" s="52"/>
      <c r="K18" s="239" t="s">
        <v>222</v>
      </c>
      <c r="L18" s="22"/>
      <c r="M18" s="22"/>
      <c r="N18" s="22"/>
      <c r="O18" s="22"/>
      <c r="P18" s="242" t="s">
        <v>9</v>
      </c>
    </row>
    <row r="19">
      <c r="D19" s="239" t="s">
        <v>223</v>
      </c>
      <c r="E19" s="22"/>
      <c r="F19" s="22"/>
      <c r="G19" s="22"/>
      <c r="H19" s="22"/>
      <c r="I19" s="242" t="s">
        <v>9</v>
      </c>
      <c r="J19" s="52"/>
      <c r="K19" s="239" t="s">
        <v>224</v>
      </c>
      <c r="L19" s="22"/>
      <c r="M19" s="22"/>
      <c r="N19" s="22"/>
      <c r="O19" s="22"/>
      <c r="P19" s="242" t="s">
        <v>9</v>
      </c>
    </row>
    <row r="20">
      <c r="D20" s="239" t="s">
        <v>225</v>
      </c>
      <c r="E20" s="22"/>
      <c r="F20" s="22"/>
      <c r="G20" s="22"/>
      <c r="H20" s="22"/>
      <c r="I20" s="242" t="s">
        <v>9</v>
      </c>
      <c r="J20" s="52"/>
      <c r="K20" s="239" t="s">
        <v>226</v>
      </c>
      <c r="L20" s="22"/>
      <c r="M20" s="22"/>
      <c r="N20" s="22"/>
      <c r="O20" s="22"/>
      <c r="P20" s="242" t="s">
        <v>9</v>
      </c>
    </row>
    <row r="21">
      <c r="D21" s="239" t="s">
        <v>231</v>
      </c>
      <c r="E21" s="22"/>
      <c r="F21" s="22"/>
      <c r="G21" s="22"/>
      <c r="H21" s="22"/>
      <c r="I21" s="242" t="s">
        <v>9</v>
      </c>
      <c r="J21" s="52"/>
      <c r="K21" s="239" t="s">
        <v>228</v>
      </c>
      <c r="L21" s="22"/>
      <c r="M21" s="22"/>
      <c r="N21" s="22"/>
      <c r="O21" s="22"/>
      <c r="P21" s="242" t="s">
        <v>9</v>
      </c>
    </row>
    <row r="22">
      <c r="D22" s="239" t="s">
        <v>227</v>
      </c>
      <c r="E22" s="22"/>
      <c r="F22" s="22"/>
      <c r="G22" s="22"/>
      <c r="H22" s="22"/>
      <c r="I22" s="242" t="s">
        <v>9</v>
      </c>
      <c r="J22" s="52"/>
      <c r="K22" s="239" t="s">
        <v>230</v>
      </c>
      <c r="L22" s="22"/>
      <c r="M22" s="22"/>
      <c r="N22" s="22"/>
      <c r="O22" s="22"/>
      <c r="P22" s="242" t="s">
        <v>9</v>
      </c>
    </row>
    <row r="23">
      <c r="D23" s="239" t="s">
        <v>229</v>
      </c>
      <c r="E23" s="22"/>
      <c r="F23" s="22"/>
      <c r="G23" s="22"/>
      <c r="H23" s="22"/>
      <c r="I23" s="242" t="s">
        <v>9</v>
      </c>
      <c r="J23" s="52"/>
      <c r="K23" s="239" t="s">
        <v>231</v>
      </c>
      <c r="L23" s="22"/>
      <c r="M23" s="22"/>
      <c r="N23" s="22"/>
      <c r="O23" s="22"/>
      <c r="P23" s="242" t="s">
        <v>9</v>
      </c>
    </row>
    <row r="24">
      <c r="D24" s="239" t="s">
        <v>137</v>
      </c>
      <c r="E24" s="22"/>
      <c r="F24" s="22"/>
      <c r="G24" s="22"/>
      <c r="H24" s="22"/>
      <c r="I24" s="242" t="s">
        <v>9</v>
      </c>
      <c r="J24" s="52"/>
    </row>
    <row r="25">
      <c r="D25" s="216"/>
      <c r="E25" s="216"/>
      <c r="F25" s="216"/>
      <c r="G25" s="216"/>
      <c r="H25" s="216"/>
      <c r="I25" s="243"/>
      <c r="J25" s="52"/>
      <c r="K25" s="217" t="s">
        <v>138</v>
      </c>
      <c r="P25" s="244">
        <v>299.0</v>
      </c>
    </row>
    <row r="26">
      <c r="C26" s="20" t="s">
        <v>142</v>
      </c>
      <c r="Q26" s="31"/>
    </row>
    <row r="27">
      <c r="Q27" s="31"/>
    </row>
    <row r="28">
      <c r="D28" s="239" t="s">
        <v>217</v>
      </c>
      <c r="E28" s="22"/>
      <c r="F28" s="22"/>
      <c r="G28" s="22"/>
      <c r="H28" s="22"/>
      <c r="I28" s="240">
        <v>15.0</v>
      </c>
      <c r="J28" s="52"/>
      <c r="K28" s="239" t="s">
        <v>218</v>
      </c>
      <c r="L28" s="22"/>
      <c r="M28" s="22"/>
      <c r="N28" s="22"/>
      <c r="O28" s="22"/>
      <c r="P28" s="24">
        <v>15.0</v>
      </c>
      <c r="Q28" s="31"/>
    </row>
    <row r="29">
      <c r="D29" s="239" t="s">
        <v>219</v>
      </c>
      <c r="E29" s="22"/>
      <c r="F29" s="22"/>
      <c r="G29" s="22"/>
      <c r="H29" s="22"/>
      <c r="I29" s="242" t="s">
        <v>9</v>
      </c>
      <c r="J29" s="52"/>
      <c r="K29" s="239" t="s">
        <v>220</v>
      </c>
      <c r="L29" s="22"/>
      <c r="M29" s="22"/>
      <c r="N29" s="22"/>
      <c r="O29" s="22"/>
      <c r="P29" s="24" t="s">
        <v>9</v>
      </c>
      <c r="Q29" s="31"/>
    </row>
    <row r="30">
      <c r="D30" s="239" t="s">
        <v>221</v>
      </c>
      <c r="E30" s="22"/>
      <c r="F30" s="22"/>
      <c r="G30" s="22"/>
      <c r="H30" s="22"/>
      <c r="I30" s="242" t="s">
        <v>9</v>
      </c>
      <c r="J30" s="52"/>
      <c r="K30" s="239" t="s">
        <v>222</v>
      </c>
      <c r="L30" s="22"/>
      <c r="M30" s="22"/>
      <c r="N30" s="22"/>
      <c r="O30" s="22"/>
      <c r="P30" s="24" t="s">
        <v>9</v>
      </c>
      <c r="Q30" s="31"/>
    </row>
    <row r="31">
      <c r="D31" s="239" t="s">
        <v>223</v>
      </c>
      <c r="E31" s="22"/>
      <c r="F31" s="22"/>
      <c r="G31" s="22"/>
      <c r="H31" s="22"/>
      <c r="I31" s="242" t="s">
        <v>9</v>
      </c>
      <c r="J31" s="52"/>
      <c r="K31" s="239" t="s">
        <v>224</v>
      </c>
      <c r="L31" s="22"/>
      <c r="M31" s="22"/>
      <c r="N31" s="22"/>
      <c r="O31" s="22"/>
      <c r="P31" s="24" t="s">
        <v>9</v>
      </c>
      <c r="Q31" s="31"/>
    </row>
    <row r="32">
      <c r="D32" s="239" t="s">
        <v>225</v>
      </c>
      <c r="E32" s="22"/>
      <c r="F32" s="22"/>
      <c r="G32" s="22"/>
      <c r="H32" s="22"/>
      <c r="I32" s="242" t="s">
        <v>9</v>
      </c>
      <c r="J32" s="52"/>
      <c r="K32" s="239" t="s">
        <v>226</v>
      </c>
      <c r="L32" s="22"/>
      <c r="M32" s="22"/>
      <c r="N32" s="22"/>
      <c r="O32" s="22"/>
      <c r="P32" s="24" t="s">
        <v>9</v>
      </c>
      <c r="Q32" s="31"/>
    </row>
    <row r="33">
      <c r="D33" s="239" t="s">
        <v>231</v>
      </c>
      <c r="E33" s="22"/>
      <c r="F33" s="22"/>
      <c r="G33" s="22"/>
      <c r="H33" s="22"/>
      <c r="I33" s="242" t="s">
        <v>9</v>
      </c>
      <c r="J33" s="52"/>
      <c r="K33" s="239" t="s">
        <v>228</v>
      </c>
      <c r="L33" s="22"/>
      <c r="M33" s="22"/>
      <c r="N33" s="22"/>
      <c r="O33" s="22"/>
      <c r="P33" s="24" t="s">
        <v>9</v>
      </c>
      <c r="Q33" s="32"/>
    </row>
    <row r="34">
      <c r="D34" s="239" t="s">
        <v>227</v>
      </c>
      <c r="E34" s="22"/>
      <c r="F34" s="22"/>
      <c r="G34" s="22"/>
      <c r="H34" s="22"/>
      <c r="I34" s="242" t="s">
        <v>9</v>
      </c>
      <c r="J34" s="52"/>
      <c r="K34" s="239" t="s">
        <v>230</v>
      </c>
      <c r="L34" s="22"/>
      <c r="M34" s="22"/>
      <c r="N34" s="22"/>
      <c r="O34" s="22"/>
      <c r="P34" s="24" t="s">
        <v>9</v>
      </c>
      <c r="Q34" s="32"/>
    </row>
    <row r="35">
      <c r="C35" s="216"/>
      <c r="D35" s="239" t="s">
        <v>229</v>
      </c>
      <c r="E35" s="22"/>
      <c r="F35" s="22"/>
      <c r="G35" s="22"/>
      <c r="H35" s="22"/>
      <c r="I35" s="242" t="s">
        <v>9</v>
      </c>
      <c r="J35" s="52"/>
      <c r="K35" s="239" t="s">
        <v>231</v>
      </c>
      <c r="L35" s="22"/>
      <c r="M35" s="22"/>
      <c r="N35" s="22"/>
      <c r="O35" s="22"/>
      <c r="P35" s="51" t="s">
        <v>9</v>
      </c>
    </row>
    <row r="36">
      <c r="C36" s="216"/>
      <c r="D36" s="239" t="s">
        <v>229</v>
      </c>
      <c r="E36" s="22"/>
      <c r="F36" s="22"/>
      <c r="G36" s="22"/>
      <c r="H36" s="22"/>
      <c r="I36" s="242" t="s">
        <v>9</v>
      </c>
      <c r="J36" s="52"/>
      <c r="K36" s="239" t="s">
        <v>232</v>
      </c>
      <c r="L36" s="22"/>
      <c r="M36" s="22"/>
      <c r="N36" s="22"/>
      <c r="O36" s="22"/>
      <c r="P36" s="235" t="s">
        <v>9</v>
      </c>
    </row>
    <row r="37">
      <c r="C37" s="216"/>
      <c r="D37" s="239" t="s">
        <v>137</v>
      </c>
      <c r="E37" s="22"/>
      <c r="F37" s="22"/>
      <c r="G37" s="22"/>
      <c r="H37" s="22"/>
      <c r="I37" s="242" t="s">
        <v>9</v>
      </c>
      <c r="J37" s="52"/>
    </row>
    <row r="38">
      <c r="C38" s="216"/>
      <c r="D38" s="216"/>
      <c r="E38" s="216"/>
      <c r="F38" s="216"/>
      <c r="G38" s="216"/>
      <c r="H38" s="216"/>
      <c r="I38" s="243"/>
      <c r="J38" s="52"/>
      <c r="K38" s="217" t="s">
        <v>138</v>
      </c>
      <c r="P38" s="244">
        <v>199.0</v>
      </c>
    </row>
    <row r="39">
      <c r="C39" s="20" t="s">
        <v>144</v>
      </c>
    </row>
    <row r="41">
      <c r="C41" s="200"/>
      <c r="D41" s="54"/>
      <c r="E41" s="54"/>
      <c r="F41" s="54"/>
      <c r="G41" s="52"/>
      <c r="H41" s="245"/>
      <c r="I41" s="51"/>
      <c r="J41" s="192"/>
      <c r="O41" s="51"/>
    </row>
    <row r="42">
      <c r="C42" s="200"/>
      <c r="D42" s="239" t="s">
        <v>217</v>
      </c>
      <c r="E42" s="22"/>
      <c r="F42" s="22"/>
      <c r="G42" s="22"/>
      <c r="H42" s="22"/>
      <c r="I42" s="240">
        <v>20.0</v>
      </c>
      <c r="J42" s="52"/>
      <c r="K42" s="239" t="s">
        <v>218</v>
      </c>
      <c r="L42" s="22"/>
      <c r="M42" s="22"/>
      <c r="N42" s="22"/>
      <c r="O42" s="22"/>
      <c r="P42" s="24">
        <v>15.0</v>
      </c>
    </row>
    <row r="43">
      <c r="C43" s="200"/>
      <c r="D43" s="239" t="s">
        <v>219</v>
      </c>
      <c r="E43" s="22"/>
      <c r="F43" s="22"/>
      <c r="G43" s="22"/>
      <c r="H43" s="22"/>
      <c r="I43" s="242" t="s">
        <v>9</v>
      </c>
      <c r="J43" s="52"/>
      <c r="K43" s="239" t="s">
        <v>220</v>
      </c>
      <c r="L43" s="22"/>
      <c r="M43" s="22"/>
      <c r="N43" s="22"/>
      <c r="O43" s="22"/>
      <c r="P43" s="24" t="s">
        <v>9</v>
      </c>
    </row>
    <row r="44">
      <c r="C44" s="200"/>
      <c r="D44" s="239" t="s">
        <v>221</v>
      </c>
      <c r="E44" s="22"/>
      <c r="F44" s="22"/>
      <c r="G44" s="22"/>
      <c r="H44" s="22"/>
      <c r="I44" s="242" t="s">
        <v>9</v>
      </c>
      <c r="J44" s="52"/>
      <c r="K44" s="239" t="s">
        <v>222</v>
      </c>
      <c r="L44" s="22"/>
      <c r="M44" s="22"/>
      <c r="N44" s="22"/>
      <c r="O44" s="22"/>
      <c r="P44" s="24" t="s">
        <v>9</v>
      </c>
    </row>
    <row r="45">
      <c r="A45" s="19"/>
      <c r="C45" s="200"/>
      <c r="D45" s="239" t="s">
        <v>223</v>
      </c>
      <c r="E45" s="22"/>
      <c r="F45" s="22"/>
      <c r="G45" s="22"/>
      <c r="H45" s="22"/>
      <c r="I45" s="242" t="s">
        <v>9</v>
      </c>
      <c r="J45" s="52"/>
      <c r="K45" s="239" t="s">
        <v>224</v>
      </c>
      <c r="L45" s="22"/>
      <c r="M45" s="22"/>
      <c r="N45" s="22"/>
      <c r="O45" s="22"/>
      <c r="P45" s="24" t="s">
        <v>9</v>
      </c>
    </row>
    <row r="46">
      <c r="A46" s="19"/>
      <c r="C46" s="200"/>
      <c r="D46" s="239" t="s">
        <v>225</v>
      </c>
      <c r="E46" s="22"/>
      <c r="F46" s="22"/>
      <c r="G46" s="22"/>
      <c r="H46" s="22"/>
      <c r="I46" s="242" t="s">
        <v>9</v>
      </c>
      <c r="J46" s="52"/>
      <c r="K46" s="239" t="s">
        <v>226</v>
      </c>
      <c r="L46" s="22"/>
      <c r="M46" s="22"/>
      <c r="N46" s="22"/>
      <c r="O46" s="22"/>
      <c r="P46" s="24" t="s">
        <v>9</v>
      </c>
    </row>
    <row r="47">
      <c r="A47" s="19"/>
      <c r="C47" s="200"/>
      <c r="D47" s="239" t="s">
        <v>231</v>
      </c>
      <c r="E47" s="22"/>
      <c r="F47" s="22"/>
      <c r="G47" s="22"/>
      <c r="H47" s="22"/>
      <c r="I47" s="242" t="s">
        <v>9</v>
      </c>
      <c r="J47" s="52"/>
      <c r="K47" s="239" t="s">
        <v>228</v>
      </c>
      <c r="L47" s="22"/>
      <c r="M47" s="22"/>
      <c r="N47" s="22"/>
      <c r="O47" s="22"/>
      <c r="P47" s="24" t="s">
        <v>9</v>
      </c>
    </row>
    <row r="48">
      <c r="A48" s="19"/>
      <c r="C48" s="200"/>
      <c r="D48" s="239" t="s">
        <v>227</v>
      </c>
      <c r="E48" s="22"/>
      <c r="F48" s="22"/>
      <c r="G48" s="22"/>
      <c r="H48" s="22"/>
      <c r="I48" s="242" t="s">
        <v>9</v>
      </c>
      <c r="J48" s="52"/>
      <c r="K48" s="239" t="s">
        <v>230</v>
      </c>
      <c r="L48" s="22"/>
      <c r="M48" s="22"/>
      <c r="N48" s="22"/>
      <c r="O48" s="22"/>
      <c r="P48" s="24" t="s">
        <v>9</v>
      </c>
    </row>
    <row r="49">
      <c r="A49" s="19"/>
      <c r="C49" s="200"/>
      <c r="D49" s="239" t="s">
        <v>229</v>
      </c>
      <c r="E49" s="22"/>
      <c r="F49" s="22"/>
      <c r="G49" s="22"/>
      <c r="H49" s="22"/>
      <c r="I49" s="242" t="s">
        <v>9</v>
      </c>
      <c r="J49" s="52"/>
      <c r="K49" s="239" t="s">
        <v>231</v>
      </c>
      <c r="L49" s="22"/>
      <c r="M49" s="22"/>
      <c r="N49" s="22"/>
      <c r="O49" s="22"/>
      <c r="P49" s="51" t="s">
        <v>9</v>
      </c>
    </row>
    <row r="50">
      <c r="A50" s="19"/>
      <c r="C50" s="200"/>
      <c r="D50" s="239" t="s">
        <v>229</v>
      </c>
      <c r="E50" s="22"/>
      <c r="F50" s="22"/>
      <c r="G50" s="22"/>
      <c r="H50" s="22"/>
      <c r="I50" s="242" t="s">
        <v>9</v>
      </c>
      <c r="J50" s="52"/>
      <c r="K50" s="239" t="s">
        <v>232</v>
      </c>
      <c r="L50" s="22"/>
      <c r="M50" s="22"/>
      <c r="N50" s="22"/>
      <c r="O50" s="22"/>
      <c r="P50" s="235" t="s">
        <v>9</v>
      </c>
    </row>
    <row r="51">
      <c r="A51" s="19"/>
      <c r="C51" s="200"/>
      <c r="D51" s="239" t="s">
        <v>137</v>
      </c>
      <c r="E51" s="22"/>
      <c r="F51" s="22"/>
      <c r="G51" s="22"/>
      <c r="H51" s="22"/>
      <c r="I51" s="242" t="s">
        <v>9</v>
      </c>
      <c r="J51" s="52"/>
    </row>
    <row r="52">
      <c r="A52" s="19"/>
      <c r="C52" s="200"/>
      <c r="D52" s="54"/>
      <c r="E52" s="54"/>
      <c r="F52" s="54"/>
      <c r="G52" s="52"/>
      <c r="H52" s="245"/>
      <c r="I52" s="51"/>
      <c r="J52" s="192"/>
      <c r="K52" s="217" t="s">
        <v>138</v>
      </c>
      <c r="P52" s="244">
        <v>199.0</v>
      </c>
    </row>
  </sheetData>
  <mergeCells count="80">
    <mergeCell ref="D7:H7"/>
    <mergeCell ref="D8:H8"/>
    <mergeCell ref="D6:H6"/>
    <mergeCell ref="D9:H9"/>
    <mergeCell ref="K9:O9"/>
    <mergeCell ref="D10:H10"/>
    <mergeCell ref="K10:O10"/>
    <mergeCell ref="D11:H11"/>
    <mergeCell ref="K11:O11"/>
    <mergeCell ref="D12:H12"/>
    <mergeCell ref="K13:O13"/>
    <mergeCell ref="C14:I15"/>
    <mergeCell ref="D16:H16"/>
    <mergeCell ref="D18:H18"/>
    <mergeCell ref="K18:O18"/>
    <mergeCell ref="K16:O16"/>
    <mergeCell ref="D17:H17"/>
    <mergeCell ref="K17:O17"/>
    <mergeCell ref="D19:H19"/>
    <mergeCell ref="K19:O19"/>
    <mergeCell ref="D20:H20"/>
    <mergeCell ref="K20:O20"/>
    <mergeCell ref="D21:H21"/>
    <mergeCell ref="K21:O21"/>
    <mergeCell ref="D22:H22"/>
    <mergeCell ref="K22:O22"/>
    <mergeCell ref="D23:H23"/>
    <mergeCell ref="K23:O23"/>
    <mergeCell ref="C26:I27"/>
    <mergeCell ref="D28:H28"/>
    <mergeCell ref="D24:H24"/>
    <mergeCell ref="K25:O25"/>
    <mergeCell ref="D30:H30"/>
    <mergeCell ref="K30:O30"/>
    <mergeCell ref="D31:H31"/>
    <mergeCell ref="K31:O31"/>
    <mergeCell ref="D32:H32"/>
    <mergeCell ref="K32:O32"/>
    <mergeCell ref="D33:H33"/>
    <mergeCell ref="K33:O33"/>
    <mergeCell ref="D34:H34"/>
    <mergeCell ref="K34:O34"/>
    <mergeCell ref="D35:H35"/>
    <mergeCell ref="K35:O35"/>
    <mergeCell ref="A2:A44"/>
    <mergeCell ref="C3:I4"/>
    <mergeCell ref="D5:H5"/>
    <mergeCell ref="K5:O5"/>
    <mergeCell ref="K6:O6"/>
    <mergeCell ref="K7:O7"/>
    <mergeCell ref="K8:O8"/>
    <mergeCell ref="D44:H44"/>
    <mergeCell ref="K44:O44"/>
    <mergeCell ref="D45:H45"/>
    <mergeCell ref="K45:O45"/>
    <mergeCell ref="D46:H46"/>
    <mergeCell ref="K46:O46"/>
    <mergeCell ref="K47:O47"/>
    <mergeCell ref="K28:O28"/>
    <mergeCell ref="D29:H29"/>
    <mergeCell ref="K29:O29"/>
    <mergeCell ref="D36:H36"/>
    <mergeCell ref="K36:O36"/>
    <mergeCell ref="D37:H37"/>
    <mergeCell ref="K38:O38"/>
    <mergeCell ref="C39:I40"/>
    <mergeCell ref="J41:N41"/>
    <mergeCell ref="D42:H42"/>
    <mergeCell ref="K42:O42"/>
    <mergeCell ref="D43:H43"/>
    <mergeCell ref="K43:O43"/>
    <mergeCell ref="K50:O50"/>
    <mergeCell ref="K52:O52"/>
    <mergeCell ref="D47:H47"/>
    <mergeCell ref="D48:H48"/>
    <mergeCell ref="K48:O48"/>
    <mergeCell ref="D49:H49"/>
    <mergeCell ref="K49:O49"/>
    <mergeCell ref="D50:H50"/>
    <mergeCell ref="D51:H5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5.75"/>
    <col customWidth="1" min="8" max="8" width="7.88"/>
    <col customWidth="1" min="9" max="13" width="5.75"/>
    <col customWidth="1" min="14" max="14" width="7.13"/>
    <col customWidth="1" min="15" max="15" width="5.63"/>
    <col customWidth="1" min="16" max="16" width="6.88"/>
    <col customWidth="1" min="17" max="22" width="5.63"/>
  </cols>
  <sheetData>
    <row r="1">
      <c r="A1" s="19" t="s">
        <v>233</v>
      </c>
      <c r="I1" s="98"/>
      <c r="P1" s="204"/>
      <c r="Q1" s="18"/>
      <c r="R1" s="18"/>
      <c r="S1" s="18"/>
      <c r="T1" s="18"/>
      <c r="U1" s="18"/>
      <c r="V1" s="18"/>
    </row>
    <row r="2">
      <c r="I2" s="98"/>
      <c r="P2" s="98"/>
    </row>
    <row r="3">
      <c r="C3" s="20" t="s">
        <v>186</v>
      </c>
      <c r="P3" s="98"/>
    </row>
    <row r="4">
      <c r="P4" s="98"/>
    </row>
    <row r="5">
      <c r="D5" s="21" t="s">
        <v>234</v>
      </c>
      <c r="E5" s="22"/>
      <c r="F5" s="22"/>
      <c r="G5" s="22"/>
      <c r="H5" s="22"/>
      <c r="I5" s="225" t="s">
        <v>9</v>
      </c>
      <c r="J5" s="52"/>
      <c r="K5" s="21" t="s">
        <v>164</v>
      </c>
      <c r="L5" s="22"/>
      <c r="M5" s="22"/>
      <c r="N5" s="22"/>
      <c r="O5" s="22"/>
      <c r="P5" s="246" t="s">
        <v>165</v>
      </c>
    </row>
    <row r="6">
      <c r="D6" s="21" t="s">
        <v>235</v>
      </c>
      <c r="E6" s="22"/>
      <c r="F6" s="22"/>
      <c r="G6" s="22"/>
      <c r="H6" s="22"/>
      <c r="I6" s="226" t="s">
        <v>9</v>
      </c>
      <c r="J6" s="52"/>
      <c r="K6" s="21" t="s">
        <v>236</v>
      </c>
      <c r="L6" s="22"/>
      <c r="M6" s="22"/>
      <c r="N6" s="22"/>
      <c r="O6" s="22"/>
      <c r="P6" s="227" t="s">
        <v>165</v>
      </c>
    </row>
    <row r="7">
      <c r="D7" s="21" t="s">
        <v>237</v>
      </c>
      <c r="E7" s="22"/>
      <c r="F7" s="22"/>
      <c r="G7" s="22"/>
      <c r="H7" s="22"/>
      <c r="I7" s="226" t="s">
        <v>9</v>
      </c>
      <c r="J7" s="52"/>
      <c r="K7" s="21" t="s">
        <v>238</v>
      </c>
      <c r="L7" s="22"/>
      <c r="M7" s="22"/>
      <c r="N7" s="22"/>
      <c r="O7" s="22"/>
      <c r="P7" s="227" t="s">
        <v>165</v>
      </c>
    </row>
    <row r="8">
      <c r="D8" s="21" t="s">
        <v>239</v>
      </c>
      <c r="E8" s="22"/>
      <c r="F8" s="22"/>
      <c r="G8" s="22"/>
      <c r="H8" s="22"/>
      <c r="I8" s="226" t="s">
        <v>9</v>
      </c>
      <c r="J8" s="52"/>
      <c r="K8" s="21" t="s">
        <v>240</v>
      </c>
      <c r="L8" s="22"/>
      <c r="M8" s="22"/>
      <c r="N8" s="22"/>
      <c r="O8" s="22"/>
      <c r="P8" s="226" t="s">
        <v>9</v>
      </c>
    </row>
    <row r="9">
      <c r="D9" s="21" t="s">
        <v>241</v>
      </c>
      <c r="E9" s="22"/>
      <c r="F9" s="22"/>
      <c r="G9" s="22"/>
      <c r="H9" s="22"/>
      <c r="I9" s="226" t="s">
        <v>9</v>
      </c>
      <c r="J9" s="52"/>
      <c r="K9" s="21" t="s">
        <v>242</v>
      </c>
      <c r="L9" s="22"/>
      <c r="M9" s="22"/>
      <c r="N9" s="22"/>
      <c r="O9" s="22"/>
      <c r="P9" s="226" t="s">
        <v>9</v>
      </c>
    </row>
    <row r="10">
      <c r="D10" s="21" t="s">
        <v>243</v>
      </c>
      <c r="E10" s="22"/>
      <c r="F10" s="22"/>
      <c r="G10" s="22"/>
      <c r="H10" s="22"/>
      <c r="I10" s="227">
        <v>100.0</v>
      </c>
      <c r="J10" s="52"/>
      <c r="K10" s="21" t="s">
        <v>244</v>
      </c>
      <c r="L10" s="22"/>
      <c r="M10" s="22"/>
      <c r="N10" s="22"/>
      <c r="O10" s="22"/>
      <c r="P10" s="226" t="s">
        <v>9</v>
      </c>
      <c r="Q10" s="192"/>
      <c r="R10" s="192"/>
      <c r="S10" s="192"/>
      <c r="T10" s="192"/>
      <c r="U10" s="192"/>
      <c r="V10" s="192"/>
    </row>
    <row r="11">
      <c r="D11" s="21" t="s">
        <v>245</v>
      </c>
      <c r="E11" s="22"/>
      <c r="F11" s="22"/>
      <c r="G11" s="22"/>
      <c r="H11" s="22"/>
      <c r="I11" s="226" t="s">
        <v>9</v>
      </c>
      <c r="J11" s="52"/>
      <c r="K11" s="21" t="s">
        <v>246</v>
      </c>
      <c r="L11" s="22"/>
      <c r="M11" s="22"/>
      <c r="N11" s="22"/>
      <c r="O11" s="22"/>
      <c r="P11" s="226" t="s">
        <v>9</v>
      </c>
      <c r="Q11" s="192"/>
      <c r="R11" s="192"/>
      <c r="S11" s="192"/>
      <c r="T11" s="192"/>
      <c r="U11" s="192"/>
      <c r="V11" s="192"/>
    </row>
    <row r="12">
      <c r="D12" s="21" t="s">
        <v>137</v>
      </c>
      <c r="E12" s="22"/>
      <c r="F12" s="22"/>
      <c r="G12" s="22"/>
      <c r="H12" s="22"/>
      <c r="I12" s="226" t="s">
        <v>9</v>
      </c>
      <c r="J12" s="52"/>
      <c r="K12" s="21" t="s">
        <v>247</v>
      </c>
      <c r="L12" s="22"/>
      <c r="M12" s="22"/>
      <c r="N12" s="22"/>
      <c r="O12" s="22"/>
      <c r="P12" s="226" t="s">
        <v>9</v>
      </c>
    </row>
    <row r="13">
      <c r="D13" s="247" t="s">
        <v>138</v>
      </c>
      <c r="P13" s="248">
        <v>999.0</v>
      </c>
    </row>
    <row r="14">
      <c r="D14" s="192"/>
      <c r="E14" s="192"/>
      <c r="F14" s="192"/>
      <c r="G14" s="192"/>
      <c r="H14" s="192"/>
      <c r="I14" s="51"/>
      <c r="J14" s="249"/>
      <c r="K14" s="192"/>
      <c r="L14" s="192"/>
      <c r="M14" s="192"/>
      <c r="N14" s="192"/>
      <c r="O14" s="192"/>
      <c r="P14" s="250"/>
    </row>
    <row r="15">
      <c r="C15" s="20" t="s">
        <v>139</v>
      </c>
      <c r="P15" s="98"/>
    </row>
    <row r="16">
      <c r="P16" s="98"/>
    </row>
    <row r="17">
      <c r="D17" s="21" t="s">
        <v>234</v>
      </c>
      <c r="E17" s="22"/>
      <c r="F17" s="22"/>
      <c r="G17" s="22"/>
      <c r="H17" s="22"/>
      <c r="I17" s="225" t="s">
        <v>9</v>
      </c>
      <c r="J17" s="52"/>
      <c r="K17" s="21" t="s">
        <v>164</v>
      </c>
      <c r="L17" s="22"/>
      <c r="M17" s="22"/>
      <c r="N17" s="22"/>
      <c r="O17" s="22"/>
      <c r="P17" s="246" t="s">
        <v>165</v>
      </c>
    </row>
    <row r="18">
      <c r="D18" s="21" t="s">
        <v>235</v>
      </c>
      <c r="E18" s="22"/>
      <c r="F18" s="22"/>
      <c r="G18" s="22"/>
      <c r="H18" s="22"/>
      <c r="I18" s="226" t="s">
        <v>9</v>
      </c>
      <c r="J18" s="52"/>
      <c r="K18" s="21" t="s">
        <v>236</v>
      </c>
      <c r="L18" s="22"/>
      <c r="M18" s="22"/>
      <c r="N18" s="22"/>
      <c r="O18" s="22"/>
      <c r="P18" s="227" t="s">
        <v>165</v>
      </c>
    </row>
    <row r="19">
      <c r="D19" s="21" t="s">
        <v>237</v>
      </c>
      <c r="E19" s="22"/>
      <c r="F19" s="22"/>
      <c r="G19" s="22"/>
      <c r="H19" s="22"/>
      <c r="I19" s="226" t="s">
        <v>9</v>
      </c>
      <c r="J19" s="52"/>
      <c r="K19" s="21" t="s">
        <v>238</v>
      </c>
      <c r="L19" s="22"/>
      <c r="M19" s="22"/>
      <c r="N19" s="22"/>
      <c r="O19" s="22"/>
      <c r="P19" s="227" t="s">
        <v>165</v>
      </c>
    </row>
    <row r="20">
      <c r="D20" s="21" t="s">
        <v>239</v>
      </c>
      <c r="E20" s="22"/>
      <c r="F20" s="22"/>
      <c r="G20" s="22"/>
      <c r="H20" s="22"/>
      <c r="I20" s="226" t="s">
        <v>9</v>
      </c>
      <c r="J20" s="52"/>
      <c r="K20" s="21" t="s">
        <v>240</v>
      </c>
      <c r="L20" s="22"/>
      <c r="M20" s="22"/>
      <c r="N20" s="22"/>
      <c r="O20" s="22"/>
      <c r="P20" s="226" t="s">
        <v>9</v>
      </c>
    </row>
    <row r="21">
      <c r="D21" s="21" t="s">
        <v>241</v>
      </c>
      <c r="E21" s="22"/>
      <c r="F21" s="22"/>
      <c r="G21" s="22"/>
      <c r="H21" s="22"/>
      <c r="I21" s="226" t="s">
        <v>9</v>
      </c>
      <c r="J21" s="52"/>
      <c r="K21" s="21" t="s">
        <v>242</v>
      </c>
      <c r="L21" s="22"/>
      <c r="M21" s="22"/>
      <c r="N21" s="22"/>
      <c r="O21" s="22"/>
      <c r="P21" s="226" t="s">
        <v>9</v>
      </c>
    </row>
    <row r="22">
      <c r="D22" s="21" t="s">
        <v>243</v>
      </c>
      <c r="E22" s="22"/>
      <c r="F22" s="22"/>
      <c r="G22" s="22"/>
      <c r="H22" s="22"/>
      <c r="I22" s="227">
        <v>250.0</v>
      </c>
      <c r="J22" s="52"/>
      <c r="K22" s="21" t="s">
        <v>244</v>
      </c>
      <c r="L22" s="22"/>
      <c r="M22" s="22"/>
      <c r="N22" s="22"/>
      <c r="O22" s="22"/>
      <c r="P22" s="226" t="s">
        <v>9</v>
      </c>
    </row>
    <row r="23">
      <c r="D23" s="21" t="s">
        <v>248</v>
      </c>
      <c r="E23" s="22"/>
      <c r="F23" s="22"/>
      <c r="G23" s="22"/>
      <c r="H23" s="22"/>
      <c r="I23" s="226" t="s">
        <v>9</v>
      </c>
      <c r="J23" s="52"/>
      <c r="K23" s="21" t="s">
        <v>246</v>
      </c>
      <c r="L23" s="22"/>
      <c r="M23" s="22"/>
      <c r="N23" s="22"/>
      <c r="O23" s="22"/>
      <c r="P23" s="226" t="s">
        <v>9</v>
      </c>
    </row>
    <row r="24">
      <c r="D24" s="21" t="s">
        <v>245</v>
      </c>
      <c r="E24" s="22"/>
      <c r="F24" s="22"/>
      <c r="G24" s="22"/>
      <c r="H24" s="22"/>
      <c r="I24" s="226" t="s">
        <v>9</v>
      </c>
      <c r="J24" s="52"/>
      <c r="K24" s="21" t="s">
        <v>247</v>
      </c>
      <c r="L24" s="22"/>
      <c r="M24" s="22"/>
      <c r="N24" s="22"/>
      <c r="O24" s="22"/>
      <c r="P24" s="226" t="s">
        <v>9</v>
      </c>
    </row>
    <row r="25">
      <c r="D25" s="21" t="s">
        <v>137</v>
      </c>
      <c r="E25" s="22"/>
      <c r="F25" s="22"/>
      <c r="G25" s="22"/>
      <c r="H25" s="22"/>
      <c r="I25" s="226" t="s">
        <v>9</v>
      </c>
      <c r="J25" s="52"/>
      <c r="K25" s="21" t="s">
        <v>249</v>
      </c>
      <c r="L25" s="22"/>
      <c r="M25" s="22"/>
      <c r="N25" s="22"/>
      <c r="O25" s="22"/>
      <c r="P25" s="226" t="s">
        <v>9</v>
      </c>
    </row>
    <row r="26">
      <c r="D26" s="247" t="s">
        <v>138</v>
      </c>
      <c r="P26" s="248">
        <v>1509.0</v>
      </c>
    </row>
    <row r="27">
      <c r="D27" s="192"/>
      <c r="E27" s="192"/>
      <c r="F27" s="192"/>
      <c r="G27" s="192"/>
      <c r="H27" s="192"/>
      <c r="I27" s="51"/>
      <c r="J27" s="249"/>
      <c r="K27" s="192"/>
      <c r="L27" s="192"/>
      <c r="M27" s="192"/>
      <c r="N27" s="192"/>
      <c r="O27" s="192"/>
      <c r="P27" s="250"/>
    </row>
    <row r="28">
      <c r="C28" s="20" t="s">
        <v>196</v>
      </c>
      <c r="P28" s="98"/>
    </row>
    <row r="29">
      <c r="P29" s="98"/>
    </row>
    <row r="30">
      <c r="D30" s="21" t="s">
        <v>234</v>
      </c>
      <c r="E30" s="22"/>
      <c r="F30" s="22"/>
      <c r="G30" s="22"/>
      <c r="H30" s="22"/>
      <c r="I30" s="225" t="s">
        <v>9</v>
      </c>
      <c r="J30" s="52"/>
      <c r="K30" s="21" t="s">
        <v>164</v>
      </c>
      <c r="L30" s="22"/>
      <c r="M30" s="22"/>
      <c r="N30" s="22"/>
      <c r="O30" s="22"/>
      <c r="P30" s="246" t="s">
        <v>165</v>
      </c>
    </row>
    <row r="31">
      <c r="D31" s="21" t="s">
        <v>235</v>
      </c>
      <c r="E31" s="22"/>
      <c r="F31" s="22"/>
      <c r="G31" s="22"/>
      <c r="H31" s="22"/>
      <c r="I31" s="226" t="s">
        <v>9</v>
      </c>
      <c r="J31" s="52"/>
      <c r="K31" s="21" t="s">
        <v>236</v>
      </c>
      <c r="L31" s="22"/>
      <c r="M31" s="22"/>
      <c r="N31" s="22"/>
      <c r="O31" s="22"/>
      <c r="P31" s="227" t="s">
        <v>165</v>
      </c>
    </row>
    <row r="32">
      <c r="D32" s="21" t="s">
        <v>237</v>
      </c>
      <c r="E32" s="22"/>
      <c r="F32" s="22"/>
      <c r="G32" s="22"/>
      <c r="H32" s="22"/>
      <c r="I32" s="226" t="s">
        <v>9</v>
      </c>
      <c r="J32" s="52"/>
      <c r="K32" s="21" t="s">
        <v>238</v>
      </c>
      <c r="L32" s="22"/>
      <c r="M32" s="22"/>
      <c r="N32" s="22"/>
      <c r="O32" s="22"/>
      <c r="P32" s="227" t="s">
        <v>165</v>
      </c>
    </row>
    <row r="33">
      <c r="D33" s="21" t="s">
        <v>239</v>
      </c>
      <c r="E33" s="22"/>
      <c r="F33" s="22"/>
      <c r="G33" s="22"/>
      <c r="H33" s="22"/>
      <c r="I33" s="226" t="s">
        <v>9</v>
      </c>
      <c r="J33" s="52"/>
      <c r="K33" s="21" t="s">
        <v>240</v>
      </c>
      <c r="L33" s="22"/>
      <c r="M33" s="22"/>
      <c r="N33" s="22"/>
      <c r="O33" s="22"/>
      <c r="P33" s="226" t="s">
        <v>9</v>
      </c>
    </row>
    <row r="34">
      <c r="D34" s="21" t="s">
        <v>241</v>
      </c>
      <c r="E34" s="22"/>
      <c r="F34" s="22"/>
      <c r="G34" s="22"/>
      <c r="H34" s="22"/>
      <c r="I34" s="226" t="s">
        <v>9</v>
      </c>
      <c r="J34" s="52"/>
      <c r="K34" s="21" t="s">
        <v>242</v>
      </c>
      <c r="L34" s="22"/>
      <c r="M34" s="22"/>
      <c r="N34" s="22"/>
      <c r="O34" s="22"/>
      <c r="P34" s="226" t="s">
        <v>9</v>
      </c>
    </row>
    <row r="35">
      <c r="D35" s="21" t="s">
        <v>243</v>
      </c>
      <c r="E35" s="22"/>
      <c r="F35" s="22"/>
      <c r="G35" s="22"/>
      <c r="H35" s="22"/>
      <c r="I35" s="227">
        <v>500.0</v>
      </c>
      <c r="J35" s="52"/>
      <c r="K35" s="21" t="s">
        <v>244</v>
      </c>
      <c r="L35" s="22"/>
      <c r="M35" s="22"/>
      <c r="N35" s="22"/>
      <c r="O35" s="22"/>
      <c r="P35" s="226" t="s">
        <v>9</v>
      </c>
    </row>
    <row r="36">
      <c r="D36" s="21" t="s">
        <v>248</v>
      </c>
      <c r="E36" s="22"/>
      <c r="F36" s="22"/>
      <c r="G36" s="22"/>
      <c r="H36" s="22"/>
      <c r="I36" s="226" t="s">
        <v>9</v>
      </c>
      <c r="J36" s="52"/>
      <c r="K36" s="21" t="s">
        <v>246</v>
      </c>
      <c r="L36" s="22"/>
      <c r="M36" s="22"/>
      <c r="N36" s="22"/>
      <c r="O36" s="22"/>
      <c r="P36" s="226" t="s">
        <v>9</v>
      </c>
      <c r="Q36" s="31"/>
      <c r="R36" s="31"/>
      <c r="S36" s="31"/>
      <c r="T36" s="31"/>
      <c r="U36" s="31"/>
      <c r="V36" s="31"/>
    </row>
    <row r="37">
      <c r="D37" s="21" t="s">
        <v>250</v>
      </c>
      <c r="E37" s="22"/>
      <c r="F37" s="22"/>
      <c r="G37" s="22"/>
      <c r="H37" s="22"/>
      <c r="I37" s="226" t="s">
        <v>9</v>
      </c>
      <c r="J37" s="52"/>
      <c r="K37" s="21" t="s">
        <v>247</v>
      </c>
      <c r="L37" s="22"/>
      <c r="M37" s="22"/>
      <c r="N37" s="22"/>
      <c r="O37" s="22"/>
      <c r="P37" s="226" t="s">
        <v>9</v>
      </c>
      <c r="Q37" s="31"/>
      <c r="R37" s="31"/>
      <c r="S37" s="31"/>
      <c r="T37" s="31"/>
      <c r="U37" s="31"/>
      <c r="V37" s="31"/>
    </row>
    <row r="38">
      <c r="D38" s="21" t="s">
        <v>251</v>
      </c>
      <c r="E38" s="22"/>
      <c r="F38" s="22"/>
      <c r="G38" s="22"/>
      <c r="H38" s="22"/>
      <c r="I38" s="226" t="s">
        <v>9</v>
      </c>
      <c r="J38" s="52"/>
      <c r="K38" s="21" t="s">
        <v>249</v>
      </c>
      <c r="L38" s="22"/>
      <c r="M38" s="22"/>
      <c r="N38" s="22"/>
      <c r="O38" s="22"/>
      <c r="P38" s="226" t="s">
        <v>9</v>
      </c>
      <c r="Q38" s="31"/>
      <c r="R38" s="31"/>
      <c r="S38" s="31"/>
      <c r="T38" s="31"/>
      <c r="U38" s="31"/>
      <c r="V38" s="31"/>
    </row>
    <row r="39">
      <c r="D39" s="21" t="s">
        <v>245</v>
      </c>
      <c r="E39" s="22"/>
      <c r="F39" s="22"/>
      <c r="G39" s="22"/>
      <c r="H39" s="22"/>
      <c r="I39" s="226" t="s">
        <v>9</v>
      </c>
      <c r="J39" s="52"/>
      <c r="K39" s="52"/>
      <c r="P39" s="251"/>
      <c r="Q39" s="31"/>
      <c r="R39" s="31"/>
      <c r="S39" s="31"/>
      <c r="T39" s="31"/>
      <c r="U39" s="31"/>
      <c r="V39" s="31"/>
    </row>
    <row r="40">
      <c r="D40" s="21" t="s">
        <v>137</v>
      </c>
      <c r="E40" s="22"/>
      <c r="F40" s="22"/>
      <c r="G40" s="22"/>
      <c r="H40" s="22"/>
      <c r="I40" s="226" t="s">
        <v>9</v>
      </c>
      <c r="J40" s="52"/>
      <c r="K40" s="247" t="s">
        <v>138</v>
      </c>
      <c r="P40" s="248">
        <v>1509.0</v>
      </c>
      <c r="Q40" s="31"/>
      <c r="R40" s="31"/>
      <c r="S40" s="31"/>
      <c r="T40" s="31"/>
      <c r="U40" s="31"/>
      <c r="V40" s="31"/>
    </row>
    <row r="41">
      <c r="C41" s="96" t="s">
        <v>252</v>
      </c>
      <c r="D41" s="192"/>
      <c r="E41" s="192"/>
      <c r="F41" s="192"/>
      <c r="G41" s="192"/>
      <c r="H41" s="192"/>
      <c r="I41" s="51"/>
      <c r="J41" s="249"/>
      <c r="K41" s="192"/>
      <c r="L41" s="192"/>
      <c r="M41" s="192"/>
      <c r="N41" s="192"/>
      <c r="O41" s="192"/>
      <c r="P41" s="252"/>
      <c r="Q41" s="31"/>
      <c r="R41" s="31"/>
      <c r="S41" s="31"/>
      <c r="T41" s="31"/>
      <c r="U41" s="31"/>
      <c r="V41" s="31"/>
    </row>
    <row r="42">
      <c r="C42" s="20" t="s">
        <v>144</v>
      </c>
      <c r="P42" s="98"/>
      <c r="Q42" s="32"/>
      <c r="R42" s="32"/>
      <c r="S42" s="32"/>
      <c r="T42" s="32"/>
      <c r="U42" s="32"/>
      <c r="V42" s="32"/>
    </row>
    <row r="43">
      <c r="P43" s="98"/>
      <c r="Q43" s="32"/>
      <c r="R43" s="32"/>
      <c r="S43" s="32"/>
      <c r="T43" s="32"/>
      <c r="U43" s="32"/>
      <c r="V43" s="32"/>
    </row>
    <row r="44">
      <c r="D44" s="21" t="s">
        <v>234</v>
      </c>
      <c r="E44" s="22"/>
      <c r="F44" s="22"/>
      <c r="G44" s="22"/>
      <c r="H44" s="22"/>
      <c r="I44" s="225" t="s">
        <v>9</v>
      </c>
      <c r="J44" s="52"/>
      <c r="K44" s="21" t="s">
        <v>164</v>
      </c>
      <c r="L44" s="22"/>
      <c r="M44" s="22"/>
      <c r="N44" s="22"/>
      <c r="O44" s="22"/>
      <c r="P44" s="246" t="s">
        <v>165</v>
      </c>
    </row>
    <row r="45">
      <c r="D45" s="21" t="s">
        <v>235</v>
      </c>
      <c r="E45" s="22"/>
      <c r="F45" s="22"/>
      <c r="G45" s="22"/>
      <c r="H45" s="22"/>
      <c r="I45" s="226" t="s">
        <v>9</v>
      </c>
      <c r="J45" s="52"/>
      <c r="K45" s="21" t="s">
        <v>236</v>
      </c>
      <c r="L45" s="22"/>
      <c r="M45" s="22"/>
      <c r="N45" s="22"/>
      <c r="O45" s="22"/>
      <c r="P45" s="227" t="s">
        <v>165</v>
      </c>
    </row>
    <row r="46">
      <c r="D46" s="21" t="s">
        <v>237</v>
      </c>
      <c r="E46" s="22"/>
      <c r="F46" s="22"/>
      <c r="G46" s="22"/>
      <c r="H46" s="22"/>
      <c r="I46" s="226" t="s">
        <v>9</v>
      </c>
      <c r="J46" s="52"/>
      <c r="K46" s="21" t="s">
        <v>238</v>
      </c>
      <c r="L46" s="22"/>
      <c r="M46" s="22"/>
      <c r="N46" s="22"/>
      <c r="O46" s="22"/>
      <c r="P46" s="227" t="s">
        <v>165</v>
      </c>
      <c r="Q46" s="238"/>
      <c r="R46" s="238"/>
      <c r="S46" s="238"/>
      <c r="T46" s="238"/>
      <c r="U46" s="238"/>
      <c r="V46" s="238"/>
    </row>
    <row r="47">
      <c r="D47" s="21" t="s">
        <v>239</v>
      </c>
      <c r="E47" s="22"/>
      <c r="F47" s="22"/>
      <c r="G47" s="22"/>
      <c r="H47" s="22"/>
      <c r="I47" s="226" t="s">
        <v>9</v>
      </c>
      <c r="J47" s="52"/>
      <c r="K47" s="21" t="s">
        <v>240</v>
      </c>
      <c r="L47" s="22"/>
      <c r="M47" s="22"/>
      <c r="N47" s="22"/>
      <c r="O47" s="22"/>
      <c r="P47" s="226" t="s">
        <v>9</v>
      </c>
      <c r="Q47" s="238"/>
      <c r="R47" s="238"/>
      <c r="S47" s="238"/>
      <c r="T47" s="238"/>
      <c r="U47" s="238"/>
      <c r="V47" s="238"/>
    </row>
    <row r="48">
      <c r="D48" s="21" t="s">
        <v>241</v>
      </c>
      <c r="E48" s="22"/>
      <c r="F48" s="22"/>
      <c r="G48" s="22"/>
      <c r="H48" s="22"/>
      <c r="I48" s="226" t="s">
        <v>9</v>
      </c>
      <c r="J48" s="52"/>
      <c r="K48" s="21" t="s">
        <v>242</v>
      </c>
      <c r="L48" s="22"/>
      <c r="M48" s="22"/>
      <c r="N48" s="22"/>
      <c r="O48" s="22"/>
      <c r="P48" s="226" t="s">
        <v>9</v>
      </c>
    </row>
    <row r="49">
      <c r="D49" s="21" t="s">
        <v>243</v>
      </c>
      <c r="E49" s="22"/>
      <c r="F49" s="22"/>
      <c r="G49" s="22"/>
      <c r="H49" s="22"/>
      <c r="I49" s="227">
        <v>500.0</v>
      </c>
      <c r="J49" s="52"/>
      <c r="K49" s="21" t="s">
        <v>244</v>
      </c>
      <c r="L49" s="22"/>
      <c r="M49" s="22"/>
      <c r="N49" s="22"/>
      <c r="O49" s="22"/>
      <c r="P49" s="226" t="s">
        <v>9</v>
      </c>
    </row>
    <row r="50">
      <c r="D50" s="21" t="s">
        <v>248</v>
      </c>
      <c r="E50" s="22"/>
      <c r="F50" s="22"/>
      <c r="G50" s="22"/>
      <c r="H50" s="22"/>
      <c r="I50" s="226" t="s">
        <v>9</v>
      </c>
      <c r="J50" s="52"/>
      <c r="K50" s="21" t="s">
        <v>246</v>
      </c>
      <c r="L50" s="22"/>
      <c r="M50" s="22"/>
      <c r="N50" s="22"/>
      <c r="O50" s="22"/>
      <c r="P50" s="226" t="s">
        <v>9</v>
      </c>
    </row>
    <row r="51">
      <c r="D51" s="21" t="s">
        <v>250</v>
      </c>
      <c r="E51" s="22"/>
      <c r="F51" s="22"/>
      <c r="G51" s="22"/>
      <c r="H51" s="22"/>
      <c r="I51" s="226" t="s">
        <v>9</v>
      </c>
      <c r="J51" s="52"/>
      <c r="K51" s="21" t="s">
        <v>247</v>
      </c>
      <c r="L51" s="22"/>
      <c r="M51" s="22"/>
      <c r="N51" s="22"/>
      <c r="O51" s="22"/>
      <c r="P51" s="226" t="s">
        <v>9</v>
      </c>
    </row>
    <row r="52">
      <c r="A52" s="19"/>
      <c r="D52" s="21" t="s">
        <v>251</v>
      </c>
      <c r="E52" s="22"/>
      <c r="F52" s="22"/>
      <c r="G52" s="22"/>
      <c r="H52" s="22"/>
      <c r="I52" s="226" t="s">
        <v>9</v>
      </c>
      <c r="J52" s="52"/>
      <c r="K52" s="21" t="s">
        <v>249</v>
      </c>
      <c r="L52" s="22"/>
      <c r="M52" s="22"/>
      <c r="N52" s="22"/>
      <c r="O52" s="22"/>
      <c r="P52" s="226" t="s">
        <v>9</v>
      </c>
    </row>
    <row r="53">
      <c r="A53" s="19"/>
      <c r="D53" s="21" t="s">
        <v>245</v>
      </c>
      <c r="E53" s="22"/>
      <c r="F53" s="22"/>
      <c r="G53" s="22"/>
      <c r="H53" s="22"/>
      <c r="I53" s="226" t="s">
        <v>9</v>
      </c>
      <c r="J53" s="52"/>
      <c r="K53" s="21" t="s">
        <v>253</v>
      </c>
      <c r="L53" s="22"/>
      <c r="M53" s="22"/>
      <c r="N53" s="22"/>
      <c r="O53" s="22"/>
      <c r="P53" s="226" t="s">
        <v>9</v>
      </c>
    </row>
    <row r="54">
      <c r="A54" s="19"/>
      <c r="D54" s="21" t="s">
        <v>137</v>
      </c>
      <c r="E54" s="22"/>
      <c r="F54" s="22"/>
      <c r="G54" s="22"/>
      <c r="H54" s="22"/>
      <c r="I54" s="226" t="s">
        <v>9</v>
      </c>
      <c r="J54" s="52"/>
      <c r="K54" s="247"/>
      <c r="P54" s="248"/>
    </row>
  </sheetData>
  <mergeCells count="85">
    <mergeCell ref="D7:H7"/>
    <mergeCell ref="D8:H8"/>
    <mergeCell ref="D6:H6"/>
    <mergeCell ref="D9:H9"/>
    <mergeCell ref="K9:O9"/>
    <mergeCell ref="D10:H10"/>
    <mergeCell ref="K10:O10"/>
    <mergeCell ref="D11:H11"/>
    <mergeCell ref="K11:O11"/>
    <mergeCell ref="D12:H12"/>
    <mergeCell ref="K12:O12"/>
    <mergeCell ref="D17:H17"/>
    <mergeCell ref="K17:O17"/>
    <mergeCell ref="D18:H18"/>
    <mergeCell ref="K18:O18"/>
    <mergeCell ref="D19:H19"/>
    <mergeCell ref="K19:O19"/>
    <mergeCell ref="D20:H20"/>
    <mergeCell ref="K20:O20"/>
    <mergeCell ref="D21:H21"/>
    <mergeCell ref="K21:O21"/>
    <mergeCell ref="D22:H22"/>
    <mergeCell ref="K22:O22"/>
    <mergeCell ref="D23:H23"/>
    <mergeCell ref="K23:O23"/>
    <mergeCell ref="D24:H24"/>
    <mergeCell ref="K24:O24"/>
    <mergeCell ref="D25:H25"/>
    <mergeCell ref="K25:O25"/>
    <mergeCell ref="D13:O13"/>
    <mergeCell ref="C15:I16"/>
    <mergeCell ref="D30:H30"/>
    <mergeCell ref="K30:O30"/>
    <mergeCell ref="D31:H31"/>
    <mergeCell ref="K31:O31"/>
    <mergeCell ref="D32:H32"/>
    <mergeCell ref="K32:O32"/>
    <mergeCell ref="D33:H33"/>
    <mergeCell ref="K33:O33"/>
    <mergeCell ref="D34:H34"/>
    <mergeCell ref="K34:O34"/>
    <mergeCell ref="D35:H35"/>
    <mergeCell ref="K35:O35"/>
    <mergeCell ref="D26:O26"/>
    <mergeCell ref="C28:I29"/>
    <mergeCell ref="K45:O45"/>
    <mergeCell ref="D46:H46"/>
    <mergeCell ref="K46:O46"/>
    <mergeCell ref="D47:H47"/>
    <mergeCell ref="K47:O47"/>
    <mergeCell ref="D48:H48"/>
    <mergeCell ref="K48:O48"/>
    <mergeCell ref="D49:H49"/>
    <mergeCell ref="K49:O49"/>
    <mergeCell ref="D50:H50"/>
    <mergeCell ref="K50:O50"/>
    <mergeCell ref="D51:H51"/>
    <mergeCell ref="K51:O51"/>
    <mergeCell ref="D52:H52"/>
    <mergeCell ref="K52:O52"/>
    <mergeCell ref="D53:H53"/>
    <mergeCell ref="K53:O53"/>
    <mergeCell ref="D54:H54"/>
    <mergeCell ref="K54:O54"/>
    <mergeCell ref="A1:A51"/>
    <mergeCell ref="C3:I4"/>
    <mergeCell ref="D5:H5"/>
    <mergeCell ref="K5:O5"/>
    <mergeCell ref="K6:O6"/>
    <mergeCell ref="K7:O7"/>
    <mergeCell ref="K8:O8"/>
    <mergeCell ref="D36:H36"/>
    <mergeCell ref="K36:O36"/>
    <mergeCell ref="D37:H37"/>
    <mergeCell ref="K37:O37"/>
    <mergeCell ref="D38:H38"/>
    <mergeCell ref="K38:O38"/>
    <mergeCell ref="D39:H39"/>
    <mergeCell ref="K39:O39"/>
    <mergeCell ref="D40:H40"/>
    <mergeCell ref="K40:O40"/>
    <mergeCell ref="C42:I43"/>
    <mergeCell ref="D44:H44"/>
    <mergeCell ref="K44:O44"/>
    <mergeCell ref="D45:H4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5.75"/>
    <col customWidth="1" min="8" max="8" width="7.88"/>
    <col customWidth="1" min="9" max="9" width="7.38"/>
    <col customWidth="1" min="10" max="13" width="5.75"/>
    <col customWidth="1" min="14" max="14" width="7.13"/>
    <col customWidth="1" min="15" max="17" width="5.63"/>
  </cols>
  <sheetData>
    <row r="1">
      <c r="H1" s="18"/>
      <c r="I1" s="204"/>
      <c r="J1" s="18"/>
      <c r="K1" s="18"/>
      <c r="L1" s="18"/>
      <c r="M1" s="18"/>
      <c r="N1" s="18"/>
      <c r="O1" s="18"/>
      <c r="P1" s="18"/>
      <c r="Q1" s="18"/>
    </row>
    <row r="2">
      <c r="A2" s="19" t="s">
        <v>254</v>
      </c>
      <c r="H2" s="20"/>
      <c r="I2" s="205"/>
    </row>
    <row r="3">
      <c r="C3" s="20" t="s">
        <v>186</v>
      </c>
    </row>
    <row r="5">
      <c r="D5" s="21" t="s">
        <v>255</v>
      </c>
      <c r="E5" s="22"/>
      <c r="F5" s="22"/>
      <c r="G5" s="22"/>
      <c r="H5" s="22"/>
      <c r="I5" s="225" t="s">
        <v>9</v>
      </c>
      <c r="J5" s="51"/>
      <c r="K5" s="200"/>
      <c r="L5" s="200"/>
      <c r="M5" s="200"/>
      <c r="N5" s="200"/>
      <c r="O5" s="200"/>
      <c r="P5" s="201"/>
    </row>
    <row r="6">
      <c r="D6" s="21" t="s">
        <v>256</v>
      </c>
      <c r="E6" s="22"/>
      <c r="F6" s="22"/>
      <c r="G6" s="22"/>
      <c r="H6" s="22"/>
      <c r="I6" s="226" t="s">
        <v>9</v>
      </c>
      <c r="J6" s="201"/>
      <c r="K6" s="200"/>
      <c r="L6" s="200"/>
      <c r="M6" s="200"/>
      <c r="N6" s="200"/>
      <c r="O6" s="200"/>
      <c r="P6" s="201"/>
    </row>
    <row r="7">
      <c r="D7" s="21" t="s">
        <v>257</v>
      </c>
      <c r="E7" s="22"/>
      <c r="F7" s="22"/>
      <c r="G7" s="22"/>
      <c r="H7" s="22"/>
      <c r="I7" s="226" t="s">
        <v>9</v>
      </c>
      <c r="J7" s="201"/>
      <c r="K7" s="200"/>
      <c r="L7" s="200"/>
      <c r="M7" s="200"/>
      <c r="N7" s="200"/>
      <c r="O7" s="200"/>
      <c r="P7" s="201"/>
    </row>
    <row r="8">
      <c r="D8" s="21" t="s">
        <v>258</v>
      </c>
      <c r="E8" s="22"/>
      <c r="F8" s="22"/>
      <c r="G8" s="22"/>
      <c r="H8" s="22"/>
      <c r="I8" s="226" t="s">
        <v>9</v>
      </c>
      <c r="J8" s="201"/>
      <c r="K8" s="200"/>
      <c r="L8" s="200"/>
      <c r="M8" s="200"/>
      <c r="N8" s="200"/>
      <c r="O8" s="200"/>
      <c r="P8" s="201"/>
    </row>
    <row r="9">
      <c r="D9" s="21" t="s">
        <v>259</v>
      </c>
      <c r="E9" s="22"/>
      <c r="F9" s="22"/>
      <c r="G9" s="22"/>
      <c r="H9" s="22"/>
      <c r="I9" s="226" t="s">
        <v>9</v>
      </c>
      <c r="J9" s="201"/>
      <c r="K9" s="200"/>
      <c r="L9" s="200"/>
      <c r="M9" s="200"/>
      <c r="N9" s="200"/>
      <c r="O9" s="200"/>
      <c r="P9" s="201"/>
    </row>
    <row r="10">
      <c r="D10" s="21" t="s">
        <v>260</v>
      </c>
      <c r="E10" s="22"/>
      <c r="F10" s="22"/>
      <c r="G10" s="22"/>
      <c r="H10" s="22"/>
      <c r="I10" s="226" t="s">
        <v>9</v>
      </c>
      <c r="J10" s="201"/>
      <c r="K10" s="200"/>
      <c r="L10" s="200"/>
      <c r="M10" s="200"/>
      <c r="N10" s="200"/>
      <c r="O10" s="200"/>
      <c r="P10" s="253"/>
      <c r="Q10" s="192"/>
    </row>
    <row r="11">
      <c r="D11" s="21" t="s">
        <v>261</v>
      </c>
      <c r="E11" s="22"/>
      <c r="F11" s="22"/>
      <c r="G11" s="22"/>
      <c r="H11" s="22"/>
      <c r="I11" s="227">
        <v>10.0</v>
      </c>
      <c r="J11" s="201"/>
      <c r="K11" s="200"/>
      <c r="L11" s="200"/>
      <c r="M11" s="200"/>
      <c r="N11" s="200"/>
      <c r="O11" s="200"/>
      <c r="P11" s="201"/>
      <c r="Q11" s="192"/>
    </row>
    <row r="12">
      <c r="D12" s="21" t="s">
        <v>262</v>
      </c>
      <c r="E12" s="22"/>
      <c r="F12" s="22"/>
      <c r="G12" s="22"/>
      <c r="H12" s="22"/>
      <c r="I12" s="226" t="s">
        <v>9</v>
      </c>
      <c r="J12" s="249"/>
      <c r="K12" s="200"/>
      <c r="L12" s="200"/>
      <c r="M12" s="200"/>
      <c r="N12" s="200"/>
      <c r="O12" s="200"/>
      <c r="P12" s="201"/>
    </row>
    <row r="13">
      <c r="D13" s="21" t="s">
        <v>263</v>
      </c>
      <c r="E13" s="22"/>
      <c r="F13" s="22"/>
      <c r="G13" s="22"/>
      <c r="H13" s="22"/>
      <c r="I13" s="226" t="s">
        <v>9</v>
      </c>
      <c r="J13" s="249"/>
      <c r="K13" s="200"/>
      <c r="L13" s="200"/>
      <c r="M13" s="200"/>
      <c r="N13" s="200"/>
      <c r="O13" s="200"/>
      <c r="P13" s="201"/>
    </row>
    <row r="14">
      <c r="D14" s="21" t="s">
        <v>264</v>
      </c>
      <c r="E14" s="22"/>
      <c r="F14" s="22"/>
      <c r="G14" s="22"/>
      <c r="H14" s="22"/>
      <c r="I14" s="226" t="s">
        <v>9</v>
      </c>
      <c r="J14" s="249"/>
      <c r="K14" s="200"/>
      <c r="L14" s="200"/>
      <c r="M14" s="200"/>
      <c r="N14" s="200"/>
      <c r="O14" s="200"/>
      <c r="P14" s="254"/>
    </row>
    <row r="15">
      <c r="D15" s="247" t="s">
        <v>138</v>
      </c>
      <c r="I15" s="248">
        <v>399.0</v>
      </c>
      <c r="J15" s="249"/>
      <c r="K15" s="200"/>
      <c r="L15" s="200"/>
      <c r="M15" s="200"/>
      <c r="N15" s="200"/>
      <c r="O15" s="200"/>
      <c r="P15" s="254"/>
    </row>
    <row r="16">
      <c r="D16" s="249"/>
      <c r="E16" s="249"/>
      <c r="F16" s="249"/>
      <c r="G16" s="249"/>
      <c r="H16" s="249"/>
      <c r="I16" s="250"/>
      <c r="J16" s="249"/>
      <c r="P16" s="255"/>
    </row>
    <row r="17">
      <c r="C17" s="20" t="s">
        <v>139</v>
      </c>
    </row>
    <row r="19">
      <c r="D19" s="21" t="s">
        <v>255</v>
      </c>
      <c r="E19" s="22"/>
      <c r="F19" s="22"/>
      <c r="G19" s="22"/>
      <c r="H19" s="22"/>
      <c r="I19" s="225" t="s">
        <v>9</v>
      </c>
      <c r="J19" s="51"/>
      <c r="K19" s="200"/>
      <c r="L19" s="200"/>
      <c r="M19" s="200"/>
      <c r="N19" s="200"/>
      <c r="O19" s="200"/>
      <c r="P19" s="201"/>
    </row>
    <row r="20">
      <c r="D20" s="21" t="s">
        <v>256</v>
      </c>
      <c r="E20" s="22"/>
      <c r="F20" s="22"/>
      <c r="G20" s="22"/>
      <c r="H20" s="22"/>
      <c r="I20" s="226" t="s">
        <v>9</v>
      </c>
      <c r="J20" s="201"/>
      <c r="K20" s="200"/>
      <c r="L20" s="200"/>
      <c r="M20" s="200"/>
      <c r="N20" s="200"/>
      <c r="O20" s="200"/>
      <c r="P20" s="201"/>
    </row>
    <row r="21">
      <c r="D21" s="21" t="s">
        <v>257</v>
      </c>
      <c r="E21" s="22"/>
      <c r="F21" s="22"/>
      <c r="G21" s="22"/>
      <c r="H21" s="22"/>
      <c r="I21" s="226" t="s">
        <v>9</v>
      </c>
      <c r="J21" s="201"/>
      <c r="K21" s="200"/>
      <c r="L21" s="200"/>
      <c r="M21" s="200"/>
      <c r="N21" s="200"/>
      <c r="O21" s="200"/>
      <c r="P21" s="201"/>
    </row>
    <row r="22">
      <c r="D22" s="21" t="s">
        <v>258</v>
      </c>
      <c r="E22" s="22"/>
      <c r="F22" s="22"/>
      <c r="G22" s="22"/>
      <c r="H22" s="22"/>
      <c r="I22" s="226" t="s">
        <v>9</v>
      </c>
      <c r="J22" s="201"/>
      <c r="K22" s="200"/>
      <c r="L22" s="200"/>
      <c r="M22" s="200"/>
      <c r="N22" s="200"/>
      <c r="O22" s="200"/>
      <c r="P22" s="201"/>
    </row>
    <row r="23">
      <c r="D23" s="21" t="s">
        <v>259</v>
      </c>
      <c r="E23" s="22"/>
      <c r="F23" s="22"/>
      <c r="G23" s="22"/>
      <c r="H23" s="22"/>
      <c r="I23" s="226" t="s">
        <v>9</v>
      </c>
      <c r="J23" s="201"/>
      <c r="K23" s="200"/>
      <c r="L23" s="200"/>
      <c r="M23" s="200"/>
      <c r="N23" s="200"/>
      <c r="O23" s="200"/>
      <c r="P23" s="201"/>
    </row>
    <row r="24">
      <c r="D24" s="21" t="s">
        <v>260</v>
      </c>
      <c r="E24" s="22"/>
      <c r="F24" s="22"/>
      <c r="G24" s="22"/>
      <c r="H24" s="22"/>
      <c r="I24" s="226" t="s">
        <v>9</v>
      </c>
      <c r="J24" s="201"/>
      <c r="K24" s="200"/>
      <c r="L24" s="200"/>
      <c r="M24" s="200"/>
      <c r="N24" s="200"/>
      <c r="O24" s="200"/>
      <c r="P24" s="253"/>
    </row>
    <row r="25">
      <c r="D25" s="21" t="s">
        <v>261</v>
      </c>
      <c r="E25" s="22"/>
      <c r="F25" s="22"/>
      <c r="G25" s="22"/>
      <c r="H25" s="22"/>
      <c r="I25" s="227">
        <v>15.0</v>
      </c>
      <c r="J25" s="201"/>
      <c r="K25" s="200"/>
      <c r="L25" s="200"/>
      <c r="M25" s="200"/>
      <c r="N25" s="200"/>
      <c r="O25" s="200"/>
      <c r="P25" s="201"/>
    </row>
    <row r="26">
      <c r="D26" s="21" t="s">
        <v>262</v>
      </c>
      <c r="E26" s="22"/>
      <c r="F26" s="22"/>
      <c r="G26" s="22"/>
      <c r="H26" s="22"/>
      <c r="I26" s="226" t="s">
        <v>9</v>
      </c>
      <c r="J26" s="249"/>
      <c r="K26" s="200"/>
      <c r="L26" s="200"/>
      <c r="M26" s="200"/>
      <c r="N26" s="200"/>
      <c r="O26" s="200"/>
      <c r="P26" s="201"/>
    </row>
    <row r="27">
      <c r="D27" s="21" t="s">
        <v>263</v>
      </c>
      <c r="E27" s="22"/>
      <c r="F27" s="22"/>
      <c r="G27" s="22"/>
      <c r="H27" s="22"/>
      <c r="I27" s="226" t="s">
        <v>9</v>
      </c>
      <c r="J27" s="249"/>
      <c r="K27" s="200"/>
      <c r="L27" s="200"/>
      <c r="M27" s="200"/>
      <c r="N27" s="200"/>
      <c r="O27" s="200"/>
      <c r="P27" s="201"/>
    </row>
    <row r="28">
      <c r="D28" s="21" t="s">
        <v>264</v>
      </c>
      <c r="E28" s="22"/>
      <c r="F28" s="22"/>
      <c r="G28" s="22"/>
      <c r="H28" s="22"/>
      <c r="I28" s="226" t="s">
        <v>9</v>
      </c>
      <c r="J28" s="249"/>
      <c r="K28" s="200"/>
      <c r="L28" s="200"/>
      <c r="M28" s="200"/>
      <c r="N28" s="200"/>
      <c r="O28" s="200"/>
      <c r="P28" s="254"/>
    </row>
    <row r="29">
      <c r="D29" s="30" t="s">
        <v>265</v>
      </c>
      <c r="E29" s="23"/>
      <c r="F29" s="23"/>
      <c r="G29" s="23"/>
      <c r="H29" s="23"/>
      <c r="I29" s="226" t="s">
        <v>9</v>
      </c>
      <c r="J29" s="249"/>
      <c r="K29" s="200"/>
      <c r="P29" s="201"/>
    </row>
    <row r="30">
      <c r="D30" s="194" t="s">
        <v>266</v>
      </c>
      <c r="E30" s="194"/>
      <c r="F30" s="194"/>
      <c r="G30" s="194"/>
      <c r="H30" s="194"/>
      <c r="I30" s="226" t="s">
        <v>9</v>
      </c>
      <c r="J30" s="249"/>
      <c r="P30" s="201"/>
    </row>
    <row r="31">
      <c r="D31" s="194" t="s">
        <v>267</v>
      </c>
      <c r="E31" s="194"/>
      <c r="F31" s="194"/>
      <c r="G31" s="194"/>
      <c r="H31" s="194"/>
      <c r="I31" s="226" t="s">
        <v>9</v>
      </c>
      <c r="J31" s="249"/>
      <c r="P31" s="256"/>
    </row>
    <row r="32">
      <c r="D32" s="247" t="s">
        <v>138</v>
      </c>
      <c r="I32" s="248">
        <v>699.0</v>
      </c>
      <c r="J32" s="249"/>
      <c r="P32" s="256"/>
    </row>
    <row r="33">
      <c r="D33" s="249"/>
      <c r="E33" s="249"/>
      <c r="F33" s="249"/>
      <c r="G33" s="249"/>
      <c r="H33" s="249"/>
      <c r="I33" s="250"/>
      <c r="J33" s="249"/>
    </row>
    <row r="34">
      <c r="C34" s="20" t="s">
        <v>196</v>
      </c>
    </row>
    <row r="36">
      <c r="D36" s="21" t="s">
        <v>255</v>
      </c>
      <c r="E36" s="22"/>
      <c r="F36" s="22"/>
      <c r="G36" s="22"/>
      <c r="H36" s="22"/>
      <c r="I36" s="225" t="s">
        <v>9</v>
      </c>
      <c r="J36" s="51"/>
      <c r="K36" s="200"/>
      <c r="L36" s="200"/>
      <c r="M36" s="200"/>
      <c r="N36" s="200"/>
      <c r="O36" s="200"/>
      <c r="P36" s="201"/>
    </row>
    <row r="37">
      <c r="D37" s="21" t="s">
        <v>256</v>
      </c>
      <c r="E37" s="22"/>
      <c r="F37" s="22"/>
      <c r="G37" s="22"/>
      <c r="H37" s="22"/>
      <c r="I37" s="226" t="s">
        <v>9</v>
      </c>
      <c r="J37" s="201"/>
      <c r="K37" s="200"/>
      <c r="L37" s="200"/>
      <c r="M37" s="200"/>
      <c r="N37" s="200"/>
      <c r="O37" s="200"/>
      <c r="P37" s="201"/>
    </row>
    <row r="38">
      <c r="D38" s="21" t="s">
        <v>257</v>
      </c>
      <c r="E38" s="22"/>
      <c r="F38" s="22"/>
      <c r="G38" s="22"/>
      <c r="H38" s="22"/>
      <c r="I38" s="226" t="s">
        <v>9</v>
      </c>
      <c r="J38" s="201"/>
      <c r="K38" s="200"/>
      <c r="L38" s="200"/>
      <c r="M38" s="200"/>
      <c r="N38" s="200"/>
      <c r="O38" s="200"/>
      <c r="P38" s="201"/>
    </row>
    <row r="39">
      <c r="D39" s="21" t="s">
        <v>258</v>
      </c>
      <c r="E39" s="22"/>
      <c r="F39" s="22"/>
      <c r="G39" s="22"/>
      <c r="H39" s="22"/>
      <c r="I39" s="226" t="s">
        <v>9</v>
      </c>
      <c r="J39" s="201"/>
      <c r="K39" s="200"/>
      <c r="L39" s="200"/>
      <c r="M39" s="200"/>
      <c r="N39" s="200"/>
      <c r="O39" s="200"/>
      <c r="P39" s="201"/>
    </row>
    <row r="40">
      <c r="D40" s="21" t="s">
        <v>259</v>
      </c>
      <c r="E40" s="22"/>
      <c r="F40" s="22"/>
      <c r="G40" s="22"/>
      <c r="H40" s="22"/>
      <c r="I40" s="226" t="s">
        <v>9</v>
      </c>
      <c r="J40" s="201"/>
      <c r="K40" s="200"/>
      <c r="L40" s="200"/>
      <c r="M40" s="200"/>
      <c r="N40" s="200"/>
      <c r="O40" s="200"/>
      <c r="P40" s="253"/>
    </row>
    <row r="41">
      <c r="D41" s="21" t="s">
        <v>260</v>
      </c>
      <c r="E41" s="22"/>
      <c r="F41" s="22"/>
      <c r="G41" s="22"/>
      <c r="H41" s="22"/>
      <c r="I41" s="226" t="s">
        <v>9</v>
      </c>
      <c r="J41" s="201"/>
      <c r="K41" s="200"/>
      <c r="L41" s="200"/>
      <c r="M41" s="200"/>
      <c r="N41" s="200"/>
      <c r="O41" s="200"/>
      <c r="P41" s="201"/>
      <c r="Q41" s="31"/>
    </row>
    <row r="42">
      <c r="D42" s="21" t="s">
        <v>261</v>
      </c>
      <c r="E42" s="22"/>
      <c r="F42" s="22"/>
      <c r="G42" s="22"/>
      <c r="H42" s="22"/>
      <c r="I42" s="227">
        <v>15.0</v>
      </c>
      <c r="J42" s="201"/>
      <c r="K42" s="200"/>
      <c r="L42" s="200"/>
      <c r="M42" s="200"/>
      <c r="N42" s="200"/>
      <c r="O42" s="200"/>
      <c r="P42" s="201"/>
      <c r="Q42" s="31"/>
    </row>
    <row r="43">
      <c r="D43" s="21" t="s">
        <v>262</v>
      </c>
      <c r="E43" s="22"/>
      <c r="F43" s="22"/>
      <c r="G43" s="22"/>
      <c r="H43" s="22"/>
      <c r="I43" s="226" t="s">
        <v>9</v>
      </c>
      <c r="J43" s="249"/>
      <c r="K43" s="200"/>
      <c r="L43" s="200"/>
      <c r="M43" s="200"/>
      <c r="N43" s="200"/>
      <c r="O43" s="200"/>
      <c r="P43" s="201"/>
      <c r="Q43" s="31"/>
    </row>
    <row r="44">
      <c r="D44" s="21" t="s">
        <v>263</v>
      </c>
      <c r="E44" s="22"/>
      <c r="F44" s="22"/>
      <c r="G44" s="22"/>
      <c r="H44" s="22"/>
      <c r="I44" s="226" t="s">
        <v>9</v>
      </c>
      <c r="J44" s="249"/>
      <c r="K44" s="200"/>
      <c r="L44" s="200"/>
      <c r="M44" s="200"/>
      <c r="N44" s="200"/>
      <c r="O44" s="200"/>
      <c r="P44" s="254"/>
      <c r="Q44" s="31"/>
    </row>
    <row r="45">
      <c r="D45" s="21" t="s">
        <v>264</v>
      </c>
      <c r="E45" s="22"/>
      <c r="F45" s="22"/>
      <c r="G45" s="22"/>
      <c r="H45" s="22"/>
      <c r="I45" s="226" t="s">
        <v>9</v>
      </c>
      <c r="J45" s="249"/>
      <c r="K45" s="200"/>
      <c r="L45" s="200"/>
      <c r="M45" s="200"/>
      <c r="N45" s="200"/>
      <c r="O45" s="200"/>
      <c r="P45" s="201"/>
      <c r="Q45" s="31"/>
    </row>
    <row r="46">
      <c r="D46" s="30" t="s">
        <v>265</v>
      </c>
      <c r="E46" s="23"/>
      <c r="F46" s="23"/>
      <c r="G46" s="23"/>
      <c r="H46" s="23"/>
      <c r="I46" s="226" t="s">
        <v>9</v>
      </c>
      <c r="J46" s="249"/>
      <c r="K46" s="200"/>
      <c r="L46" s="200"/>
      <c r="M46" s="200"/>
      <c r="N46" s="200"/>
      <c r="O46" s="200"/>
      <c r="P46" s="201"/>
      <c r="Q46" s="32"/>
    </row>
    <row r="47">
      <c r="D47" s="194" t="s">
        <v>266</v>
      </c>
      <c r="E47" s="194"/>
      <c r="F47" s="194"/>
      <c r="G47" s="194"/>
      <c r="H47" s="194"/>
      <c r="I47" s="226" t="s">
        <v>9</v>
      </c>
      <c r="J47" s="249"/>
      <c r="K47" s="200"/>
      <c r="L47" s="200"/>
      <c r="M47" s="200"/>
      <c r="N47" s="200"/>
      <c r="O47" s="200"/>
      <c r="P47" s="201"/>
      <c r="Q47" s="32"/>
    </row>
    <row r="48">
      <c r="D48" s="194" t="s">
        <v>267</v>
      </c>
      <c r="E48" s="194"/>
      <c r="F48" s="194"/>
      <c r="G48" s="194"/>
      <c r="H48" s="194"/>
      <c r="I48" s="225" t="s">
        <v>9</v>
      </c>
      <c r="J48" s="201"/>
      <c r="K48" s="200"/>
      <c r="L48" s="200"/>
      <c r="M48" s="200"/>
      <c r="N48" s="200"/>
      <c r="O48" s="200"/>
      <c r="P48" s="201"/>
    </row>
    <row r="49">
      <c r="D49" s="194" t="s">
        <v>268</v>
      </c>
      <c r="E49" s="194"/>
      <c r="F49" s="194"/>
      <c r="G49" s="194"/>
      <c r="H49" s="194"/>
      <c r="I49" s="225" t="s">
        <v>9</v>
      </c>
      <c r="J49" s="201"/>
      <c r="K49" s="200"/>
      <c r="L49" s="200"/>
      <c r="M49" s="200"/>
      <c r="N49" s="200"/>
      <c r="O49" s="200"/>
      <c r="P49" s="201"/>
    </row>
    <row r="50">
      <c r="D50" s="194" t="s">
        <v>269</v>
      </c>
      <c r="E50" s="194"/>
      <c r="F50" s="194"/>
      <c r="G50" s="194"/>
      <c r="H50" s="194"/>
      <c r="I50" s="225" t="s">
        <v>9</v>
      </c>
      <c r="J50" s="201"/>
      <c r="P50" s="257"/>
      <c r="Q50" s="238"/>
    </row>
    <row r="51">
      <c r="D51" s="247" t="s">
        <v>138</v>
      </c>
      <c r="I51" s="248">
        <v>1009.0</v>
      </c>
      <c r="J51" s="201"/>
      <c r="P51" s="257"/>
      <c r="Q51" s="238"/>
    </row>
    <row r="52">
      <c r="D52" s="200"/>
      <c r="E52" s="54"/>
      <c r="F52" s="54"/>
      <c r="G52" s="54"/>
      <c r="H52" s="54"/>
      <c r="I52" s="251"/>
      <c r="J52" s="201"/>
      <c r="K52" s="254"/>
      <c r="L52" s="201"/>
      <c r="M52" s="201"/>
      <c r="N52" s="201"/>
      <c r="O52" s="201"/>
      <c r="Q52" s="238"/>
    </row>
    <row r="53">
      <c r="C53" s="20" t="s">
        <v>144</v>
      </c>
    </row>
    <row r="55">
      <c r="D55" s="21" t="s">
        <v>255</v>
      </c>
      <c r="E55" s="22"/>
      <c r="F55" s="22"/>
      <c r="G55" s="22"/>
      <c r="H55" s="22"/>
      <c r="I55" s="225" t="s">
        <v>9</v>
      </c>
      <c r="J55" s="51"/>
      <c r="K55" s="200"/>
      <c r="L55" s="200"/>
      <c r="M55" s="200"/>
      <c r="N55" s="200"/>
      <c r="O55" s="200"/>
      <c r="P55" s="201"/>
    </row>
    <row r="56">
      <c r="D56" s="21" t="s">
        <v>256</v>
      </c>
      <c r="E56" s="22"/>
      <c r="F56" s="22"/>
      <c r="G56" s="22"/>
      <c r="H56" s="22"/>
      <c r="I56" s="226" t="s">
        <v>9</v>
      </c>
      <c r="J56" s="201"/>
      <c r="K56" s="200"/>
      <c r="L56" s="200"/>
      <c r="M56" s="200"/>
      <c r="N56" s="200"/>
      <c r="O56" s="200"/>
      <c r="P56" s="201"/>
    </row>
    <row r="57">
      <c r="D57" s="21" t="s">
        <v>257</v>
      </c>
      <c r="E57" s="22"/>
      <c r="F57" s="22"/>
      <c r="G57" s="22"/>
      <c r="H57" s="22"/>
      <c r="I57" s="226" t="s">
        <v>9</v>
      </c>
      <c r="J57" s="201"/>
      <c r="K57" s="200"/>
      <c r="L57" s="200"/>
      <c r="M57" s="200"/>
      <c r="N57" s="200"/>
      <c r="O57" s="200"/>
      <c r="P57" s="253"/>
    </row>
    <row r="58">
      <c r="D58" s="21" t="s">
        <v>258</v>
      </c>
      <c r="E58" s="22"/>
      <c r="F58" s="22"/>
      <c r="G58" s="22"/>
      <c r="H58" s="22"/>
      <c r="I58" s="226" t="s">
        <v>9</v>
      </c>
      <c r="J58" s="201"/>
      <c r="K58" s="200"/>
      <c r="L58" s="200"/>
      <c r="M58" s="200"/>
      <c r="N58" s="200"/>
      <c r="O58" s="200"/>
      <c r="P58" s="201"/>
    </row>
    <row r="59">
      <c r="D59" s="21" t="s">
        <v>259</v>
      </c>
      <c r="E59" s="22"/>
      <c r="F59" s="22"/>
      <c r="G59" s="22"/>
      <c r="H59" s="22"/>
      <c r="I59" s="226" t="s">
        <v>9</v>
      </c>
      <c r="J59" s="201"/>
      <c r="K59" s="200"/>
      <c r="L59" s="200"/>
      <c r="M59" s="200"/>
      <c r="N59" s="200"/>
      <c r="O59" s="200"/>
      <c r="P59" s="201"/>
    </row>
    <row r="60">
      <c r="D60" s="21" t="s">
        <v>260</v>
      </c>
      <c r="E60" s="22"/>
      <c r="F60" s="22"/>
      <c r="G60" s="22"/>
      <c r="H60" s="22"/>
      <c r="I60" s="226" t="s">
        <v>9</v>
      </c>
      <c r="J60" s="201"/>
      <c r="K60" s="200"/>
      <c r="L60" s="200"/>
      <c r="M60" s="200"/>
      <c r="N60" s="200"/>
      <c r="O60" s="200"/>
      <c r="P60" s="201"/>
    </row>
    <row r="61">
      <c r="D61" s="21" t="s">
        <v>261</v>
      </c>
      <c r="E61" s="22"/>
      <c r="F61" s="22"/>
      <c r="G61" s="22"/>
      <c r="H61" s="22"/>
      <c r="I61" s="227">
        <v>15.0</v>
      </c>
      <c r="J61" s="201"/>
      <c r="K61" s="200"/>
      <c r="L61" s="200"/>
      <c r="M61" s="200"/>
      <c r="N61" s="200"/>
      <c r="O61" s="200"/>
      <c r="P61" s="254"/>
    </row>
    <row r="62">
      <c r="D62" s="21" t="s">
        <v>262</v>
      </c>
      <c r="E62" s="22"/>
      <c r="F62" s="22"/>
      <c r="G62" s="22"/>
      <c r="H62" s="22"/>
      <c r="I62" s="226" t="s">
        <v>9</v>
      </c>
      <c r="J62" s="249"/>
      <c r="K62" s="200"/>
      <c r="L62" s="200"/>
      <c r="M62" s="200"/>
      <c r="N62" s="200"/>
      <c r="O62" s="200"/>
      <c r="P62" s="201"/>
    </row>
    <row r="63">
      <c r="D63" s="21" t="s">
        <v>263</v>
      </c>
      <c r="E63" s="22"/>
      <c r="F63" s="22"/>
      <c r="G63" s="22"/>
      <c r="H63" s="22"/>
      <c r="I63" s="226" t="s">
        <v>9</v>
      </c>
      <c r="J63" s="249"/>
      <c r="K63" s="200"/>
      <c r="L63" s="200"/>
      <c r="M63" s="200"/>
      <c r="N63" s="200"/>
      <c r="O63" s="200"/>
      <c r="P63" s="201"/>
    </row>
    <row r="64">
      <c r="D64" s="21" t="s">
        <v>264</v>
      </c>
      <c r="E64" s="22"/>
      <c r="F64" s="22"/>
      <c r="G64" s="22"/>
      <c r="H64" s="22"/>
      <c r="I64" s="226" t="s">
        <v>9</v>
      </c>
      <c r="J64" s="249"/>
      <c r="K64" s="200"/>
      <c r="L64" s="200"/>
      <c r="M64" s="200"/>
      <c r="N64" s="200"/>
      <c r="O64" s="200"/>
      <c r="P64" s="201"/>
    </row>
    <row r="65">
      <c r="D65" s="30" t="s">
        <v>265</v>
      </c>
      <c r="E65" s="23"/>
      <c r="F65" s="23"/>
      <c r="G65" s="23"/>
      <c r="H65" s="23"/>
      <c r="I65" s="226" t="s">
        <v>9</v>
      </c>
      <c r="J65" s="249"/>
      <c r="K65" s="200"/>
      <c r="L65" s="200"/>
      <c r="M65" s="200"/>
      <c r="N65" s="200"/>
      <c r="O65" s="200"/>
      <c r="P65" s="201"/>
    </row>
    <row r="66">
      <c r="D66" s="194" t="s">
        <v>266</v>
      </c>
      <c r="E66" s="194"/>
      <c r="F66" s="194"/>
      <c r="G66" s="194"/>
      <c r="H66" s="194"/>
      <c r="I66" s="226" t="s">
        <v>9</v>
      </c>
      <c r="J66" s="249"/>
      <c r="K66" s="200"/>
      <c r="L66" s="200"/>
      <c r="M66" s="200"/>
      <c r="N66" s="200"/>
      <c r="O66" s="200"/>
      <c r="P66" s="201"/>
    </row>
    <row r="67">
      <c r="D67" s="194" t="s">
        <v>267</v>
      </c>
      <c r="E67" s="194"/>
      <c r="F67" s="194"/>
      <c r="G67" s="194"/>
      <c r="H67" s="194"/>
      <c r="I67" s="225" t="s">
        <v>9</v>
      </c>
      <c r="J67" s="201"/>
      <c r="K67" s="200"/>
      <c r="L67" s="200"/>
      <c r="M67" s="200"/>
      <c r="N67" s="200"/>
      <c r="O67" s="200"/>
      <c r="P67" s="201"/>
    </row>
    <row r="68">
      <c r="D68" s="194" t="s">
        <v>268</v>
      </c>
      <c r="E68" s="194"/>
      <c r="F68" s="194"/>
      <c r="G68" s="194"/>
      <c r="H68" s="194"/>
      <c r="I68" s="225" t="s">
        <v>9</v>
      </c>
      <c r="J68" s="201"/>
      <c r="K68" s="200"/>
      <c r="P68" s="201"/>
    </row>
    <row r="69">
      <c r="D69" s="194" t="s">
        <v>269</v>
      </c>
      <c r="E69" s="194"/>
      <c r="F69" s="194"/>
      <c r="G69" s="194"/>
      <c r="H69" s="194"/>
      <c r="I69" s="225" t="s">
        <v>9</v>
      </c>
      <c r="J69" s="201"/>
    </row>
    <row r="70">
      <c r="D70" s="194" t="s">
        <v>270</v>
      </c>
      <c r="E70" s="194"/>
      <c r="F70" s="194"/>
      <c r="G70" s="194"/>
      <c r="H70" s="194"/>
      <c r="I70" s="225" t="s">
        <v>9</v>
      </c>
      <c r="J70" s="201"/>
      <c r="P70" s="257"/>
    </row>
    <row r="71">
      <c r="D71" s="194" t="s">
        <v>271</v>
      </c>
      <c r="E71" s="194"/>
      <c r="F71" s="194"/>
      <c r="G71" s="194"/>
      <c r="H71" s="194"/>
      <c r="I71" s="225" t="s">
        <v>9</v>
      </c>
      <c r="J71" s="201"/>
    </row>
    <row r="72">
      <c r="D72" s="247" t="s">
        <v>138</v>
      </c>
      <c r="I72" s="248">
        <v>2439.0</v>
      </c>
      <c r="J72" s="201"/>
      <c r="K72" s="201"/>
      <c r="L72" s="201"/>
      <c r="M72" s="201"/>
      <c r="N72" s="201"/>
      <c r="O72" s="201"/>
      <c r="P72" s="201"/>
    </row>
    <row r="73">
      <c r="A73" s="19"/>
      <c r="D73" s="247"/>
      <c r="E73" s="247"/>
      <c r="F73" s="247"/>
      <c r="G73" s="247"/>
      <c r="H73" s="247"/>
      <c r="I73" s="248"/>
      <c r="J73" s="201"/>
      <c r="K73" s="201"/>
      <c r="L73" s="201"/>
      <c r="M73" s="201"/>
      <c r="N73" s="201"/>
      <c r="O73" s="201"/>
      <c r="P73" s="201"/>
    </row>
  </sheetData>
  <mergeCells count="52">
    <mergeCell ref="D10:H10"/>
    <mergeCell ref="D11:H11"/>
    <mergeCell ref="D12:H12"/>
    <mergeCell ref="D13:H13"/>
    <mergeCell ref="D14:H14"/>
    <mergeCell ref="D15:H15"/>
    <mergeCell ref="D20:H20"/>
    <mergeCell ref="D21:H21"/>
    <mergeCell ref="D22:H22"/>
    <mergeCell ref="D23:H23"/>
    <mergeCell ref="D24:H24"/>
    <mergeCell ref="D25:H25"/>
    <mergeCell ref="D26:H26"/>
    <mergeCell ref="D27:H27"/>
    <mergeCell ref="K29:O30"/>
    <mergeCell ref="D45:H45"/>
    <mergeCell ref="D51:H51"/>
    <mergeCell ref="C53:I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K68:O69"/>
    <mergeCell ref="P68:P69"/>
    <mergeCell ref="D64:H64"/>
    <mergeCell ref="D72:H72"/>
    <mergeCell ref="A2:A72"/>
    <mergeCell ref="C3:I4"/>
    <mergeCell ref="D5:H5"/>
    <mergeCell ref="D6:H6"/>
    <mergeCell ref="D7:H7"/>
    <mergeCell ref="D8:H8"/>
    <mergeCell ref="D9:H9"/>
    <mergeCell ref="C17:I18"/>
    <mergeCell ref="D19:H19"/>
    <mergeCell ref="D28:H28"/>
    <mergeCell ref="D32:H32"/>
    <mergeCell ref="C34:I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5.75"/>
    <col customWidth="1" min="8" max="8" width="7.88"/>
    <col customWidth="1" min="9" max="13" width="5.75"/>
    <col customWidth="1" min="14" max="14" width="7.13"/>
    <col customWidth="1" min="15" max="17" width="5.63"/>
  </cols>
  <sheetData>
    <row r="1">
      <c r="H1" s="18"/>
      <c r="I1" s="204"/>
      <c r="J1" s="18"/>
      <c r="K1" s="18"/>
      <c r="L1" s="18"/>
      <c r="M1" s="18"/>
      <c r="N1" s="18"/>
      <c r="O1" s="18"/>
      <c r="P1" s="204"/>
      <c r="Q1" s="18"/>
    </row>
    <row r="2">
      <c r="A2" s="19" t="s">
        <v>233</v>
      </c>
      <c r="H2" s="20"/>
      <c r="I2" s="205"/>
      <c r="P2" s="98"/>
    </row>
    <row r="3">
      <c r="C3" s="20" t="s">
        <v>186</v>
      </c>
      <c r="P3" s="98"/>
    </row>
    <row r="4">
      <c r="P4" s="98"/>
    </row>
    <row r="5">
      <c r="D5" s="25" t="s">
        <v>272</v>
      </c>
      <c r="E5" s="22"/>
      <c r="F5" s="22"/>
      <c r="G5" s="22"/>
      <c r="H5" s="22"/>
      <c r="I5" s="225" t="s">
        <v>9</v>
      </c>
      <c r="J5" s="51"/>
      <c r="K5" s="25" t="s">
        <v>273</v>
      </c>
      <c r="L5" s="25"/>
      <c r="M5" s="25"/>
      <c r="N5" s="25"/>
      <c r="O5" s="25"/>
      <c r="P5" s="225" t="s">
        <v>9</v>
      </c>
    </row>
    <row r="6">
      <c r="D6" s="25" t="s">
        <v>274</v>
      </c>
      <c r="E6" s="23"/>
      <c r="F6" s="23"/>
      <c r="G6" s="23"/>
      <c r="H6" s="23"/>
      <c r="I6" s="225" t="s">
        <v>9</v>
      </c>
      <c r="J6" s="201"/>
      <c r="K6" s="25" t="s">
        <v>275</v>
      </c>
      <c r="L6" s="25"/>
      <c r="M6" s="25"/>
      <c r="N6" s="25"/>
      <c r="O6" s="25"/>
      <c r="P6" s="225" t="s">
        <v>9</v>
      </c>
    </row>
    <row r="7">
      <c r="D7" s="25" t="s">
        <v>276</v>
      </c>
      <c r="E7" s="23"/>
      <c r="F7" s="23"/>
      <c r="G7" s="23"/>
      <c r="H7" s="21"/>
      <c r="I7" s="225" t="s">
        <v>9</v>
      </c>
      <c r="J7" s="201"/>
      <c r="K7" s="25" t="s">
        <v>277</v>
      </c>
      <c r="L7" s="25"/>
      <c r="M7" s="25"/>
      <c r="N7" s="25"/>
      <c r="O7" s="25"/>
      <c r="P7" s="225" t="s">
        <v>9</v>
      </c>
    </row>
    <row r="8">
      <c r="D8" s="25" t="s">
        <v>278</v>
      </c>
      <c r="E8" s="23"/>
      <c r="F8" s="23"/>
      <c r="G8" s="23"/>
      <c r="H8" s="23"/>
      <c r="I8" s="225" t="s">
        <v>9</v>
      </c>
      <c r="J8" s="201"/>
      <c r="K8" s="25" t="s">
        <v>279</v>
      </c>
      <c r="L8" s="25"/>
      <c r="M8" s="25"/>
      <c r="N8" s="25"/>
      <c r="O8" s="25"/>
      <c r="P8" s="225" t="s">
        <v>9</v>
      </c>
    </row>
    <row r="9">
      <c r="D9" s="25" t="s">
        <v>280</v>
      </c>
      <c r="E9" s="23"/>
      <c r="F9" s="23"/>
      <c r="G9" s="23"/>
      <c r="H9" s="23"/>
      <c r="I9" s="225" t="s">
        <v>9</v>
      </c>
      <c r="J9" s="201"/>
      <c r="K9" s="25" t="s">
        <v>281</v>
      </c>
      <c r="L9" s="25"/>
      <c r="M9" s="25"/>
      <c r="N9" s="25"/>
      <c r="O9" s="25"/>
      <c r="P9" s="225" t="s">
        <v>9</v>
      </c>
    </row>
    <row r="10">
      <c r="D10" s="25" t="s">
        <v>282</v>
      </c>
      <c r="E10" s="23"/>
      <c r="F10" s="23"/>
      <c r="G10" s="23"/>
      <c r="H10" s="23"/>
      <c r="I10" s="225" t="s">
        <v>9</v>
      </c>
      <c r="J10" s="201"/>
      <c r="K10" s="25" t="s">
        <v>243</v>
      </c>
      <c r="L10" s="25"/>
      <c r="M10" s="25"/>
      <c r="N10" s="25"/>
      <c r="O10" s="25"/>
      <c r="P10" s="24">
        <v>100.0</v>
      </c>
      <c r="Q10" s="192"/>
    </row>
    <row r="11">
      <c r="D11" s="194" t="s">
        <v>283</v>
      </c>
      <c r="E11" s="22"/>
      <c r="F11" s="22"/>
      <c r="G11" s="22"/>
      <c r="H11" s="22"/>
      <c r="I11" s="225" t="s">
        <v>9</v>
      </c>
      <c r="J11" s="201"/>
      <c r="K11" s="25" t="s">
        <v>284</v>
      </c>
      <c r="L11" s="25"/>
      <c r="M11" s="25"/>
      <c r="N11" s="25"/>
      <c r="O11" s="25"/>
      <c r="P11" s="225" t="s">
        <v>9</v>
      </c>
      <c r="Q11" s="192"/>
    </row>
    <row r="12">
      <c r="D12" s="25" t="s">
        <v>285</v>
      </c>
      <c r="E12" s="23"/>
      <c r="F12" s="23"/>
      <c r="G12" s="23"/>
      <c r="H12" s="21"/>
      <c r="I12" s="246">
        <v>1.0</v>
      </c>
      <c r="J12" s="249"/>
      <c r="K12" s="25" t="s">
        <v>286</v>
      </c>
      <c r="L12" s="25"/>
      <c r="M12" s="25"/>
      <c r="N12" s="25"/>
      <c r="O12" s="25"/>
      <c r="P12" s="225" t="s">
        <v>9</v>
      </c>
    </row>
    <row r="13">
      <c r="D13" s="25" t="s">
        <v>287</v>
      </c>
      <c r="E13" s="23"/>
      <c r="F13" s="23"/>
      <c r="G13" s="23"/>
      <c r="H13" s="21"/>
      <c r="I13" s="225" t="s">
        <v>9</v>
      </c>
      <c r="J13" s="249"/>
      <c r="K13" s="25" t="s">
        <v>288</v>
      </c>
      <c r="L13" s="25"/>
      <c r="M13" s="25"/>
      <c r="N13" s="25"/>
      <c r="O13" s="25"/>
      <c r="P13" s="225" t="s">
        <v>9</v>
      </c>
    </row>
    <row r="14">
      <c r="D14" s="25" t="s">
        <v>289</v>
      </c>
      <c r="E14" s="25"/>
      <c r="F14" s="25"/>
      <c r="G14" s="25"/>
      <c r="H14" s="25"/>
      <c r="I14" s="225" t="s">
        <v>9</v>
      </c>
      <c r="J14" s="249"/>
      <c r="K14" s="25" t="s">
        <v>290</v>
      </c>
      <c r="L14" s="25"/>
      <c r="M14" s="25"/>
      <c r="N14" s="25"/>
      <c r="O14" s="25"/>
      <c r="P14" s="246" t="s">
        <v>41</v>
      </c>
    </row>
    <row r="15">
      <c r="D15" s="30" t="s">
        <v>265</v>
      </c>
      <c r="E15" s="23"/>
      <c r="F15" s="23"/>
      <c r="G15" s="23"/>
      <c r="H15" s="23"/>
      <c r="I15" s="225" t="s">
        <v>9</v>
      </c>
      <c r="J15" s="249"/>
      <c r="K15" s="200" t="s">
        <v>291</v>
      </c>
      <c r="P15" s="251"/>
    </row>
    <row r="16">
      <c r="D16" s="194" t="s">
        <v>266</v>
      </c>
      <c r="E16" s="194"/>
      <c r="F16" s="194"/>
      <c r="G16" s="194"/>
      <c r="H16" s="194"/>
      <c r="I16" s="225" t="s">
        <v>9</v>
      </c>
      <c r="J16" s="249"/>
      <c r="K16" s="22"/>
      <c r="L16" s="22"/>
      <c r="M16" s="22"/>
      <c r="N16" s="22"/>
      <c r="O16" s="22"/>
      <c r="P16" s="225" t="s">
        <v>9</v>
      </c>
    </row>
    <row r="17">
      <c r="D17" s="249"/>
      <c r="E17" s="249"/>
      <c r="F17" s="249"/>
      <c r="G17" s="249"/>
      <c r="H17" s="249"/>
      <c r="I17" s="250"/>
      <c r="J17" s="249"/>
      <c r="P17" s="252">
        <v>999.0</v>
      </c>
    </row>
    <row r="18">
      <c r="D18" s="249"/>
      <c r="E18" s="249"/>
      <c r="F18" s="249"/>
      <c r="G18" s="249"/>
      <c r="H18" s="249"/>
      <c r="I18" s="250"/>
      <c r="J18" s="249"/>
      <c r="P18" s="252"/>
    </row>
    <row r="19">
      <c r="C19" s="20" t="s">
        <v>139</v>
      </c>
      <c r="P19" s="98"/>
    </row>
    <row r="20">
      <c r="P20" s="98"/>
    </row>
    <row r="21">
      <c r="D21" s="25" t="s">
        <v>272</v>
      </c>
      <c r="E21" s="22"/>
      <c r="F21" s="22"/>
      <c r="G21" s="22"/>
      <c r="H21" s="22"/>
      <c r="I21" s="225" t="s">
        <v>9</v>
      </c>
      <c r="J21" s="51"/>
      <c r="K21" s="25" t="s">
        <v>273</v>
      </c>
      <c r="L21" s="25"/>
      <c r="M21" s="25"/>
      <c r="N21" s="25"/>
      <c r="O21" s="25"/>
      <c r="P21" s="225" t="s">
        <v>9</v>
      </c>
    </row>
    <row r="22">
      <c r="D22" s="25" t="s">
        <v>274</v>
      </c>
      <c r="E22" s="23"/>
      <c r="F22" s="23"/>
      <c r="G22" s="23"/>
      <c r="H22" s="23"/>
      <c r="I22" s="225" t="s">
        <v>9</v>
      </c>
      <c r="J22" s="201"/>
      <c r="K22" s="25" t="s">
        <v>275</v>
      </c>
      <c r="L22" s="25"/>
      <c r="M22" s="25"/>
      <c r="N22" s="25"/>
      <c r="O22" s="25"/>
      <c r="P22" s="225" t="s">
        <v>9</v>
      </c>
    </row>
    <row r="23">
      <c r="D23" s="25" t="s">
        <v>276</v>
      </c>
      <c r="E23" s="23"/>
      <c r="F23" s="23"/>
      <c r="G23" s="23"/>
      <c r="H23" s="21"/>
      <c r="I23" s="225" t="s">
        <v>9</v>
      </c>
      <c r="J23" s="201"/>
      <c r="K23" s="25" t="s">
        <v>277</v>
      </c>
      <c r="L23" s="25"/>
      <c r="M23" s="25"/>
      <c r="N23" s="25"/>
      <c r="O23" s="25"/>
      <c r="P23" s="225" t="s">
        <v>9</v>
      </c>
    </row>
    <row r="24">
      <c r="D24" s="25" t="s">
        <v>278</v>
      </c>
      <c r="E24" s="23"/>
      <c r="F24" s="23"/>
      <c r="G24" s="23"/>
      <c r="H24" s="23"/>
      <c r="I24" s="225" t="s">
        <v>9</v>
      </c>
      <c r="J24" s="201"/>
      <c r="K24" s="25" t="s">
        <v>279</v>
      </c>
      <c r="L24" s="25"/>
      <c r="M24" s="25"/>
      <c r="N24" s="25"/>
      <c r="O24" s="25"/>
      <c r="P24" s="225" t="s">
        <v>9</v>
      </c>
    </row>
    <row r="25">
      <c r="D25" s="25" t="s">
        <v>280</v>
      </c>
      <c r="E25" s="23"/>
      <c r="F25" s="23"/>
      <c r="G25" s="23"/>
      <c r="H25" s="23"/>
      <c r="I25" s="225" t="s">
        <v>9</v>
      </c>
      <c r="J25" s="201"/>
      <c r="K25" s="25" t="s">
        <v>281</v>
      </c>
      <c r="L25" s="25"/>
      <c r="M25" s="25"/>
      <c r="N25" s="25"/>
      <c r="O25" s="25"/>
      <c r="P25" s="225" t="s">
        <v>9</v>
      </c>
    </row>
    <row r="26">
      <c r="D26" s="25" t="s">
        <v>282</v>
      </c>
      <c r="E26" s="23"/>
      <c r="F26" s="23"/>
      <c r="G26" s="23"/>
      <c r="H26" s="23"/>
      <c r="I26" s="225" t="s">
        <v>9</v>
      </c>
      <c r="J26" s="201"/>
      <c r="K26" s="25" t="s">
        <v>243</v>
      </c>
      <c r="L26" s="25"/>
      <c r="M26" s="25"/>
      <c r="N26" s="25"/>
      <c r="O26" s="25"/>
      <c r="P26" s="24">
        <v>250.0</v>
      </c>
    </row>
    <row r="27">
      <c r="D27" s="194" t="s">
        <v>283</v>
      </c>
      <c r="E27" s="22"/>
      <c r="F27" s="22"/>
      <c r="G27" s="22"/>
      <c r="H27" s="22"/>
      <c r="I27" s="225" t="s">
        <v>9</v>
      </c>
      <c r="J27" s="201"/>
      <c r="K27" s="25" t="s">
        <v>284</v>
      </c>
      <c r="L27" s="25"/>
      <c r="M27" s="25"/>
      <c r="N27" s="25"/>
      <c r="O27" s="25"/>
      <c r="P27" s="225" t="s">
        <v>9</v>
      </c>
    </row>
    <row r="28">
      <c r="D28" s="25" t="s">
        <v>285</v>
      </c>
      <c r="E28" s="23"/>
      <c r="F28" s="23"/>
      <c r="G28" s="23"/>
      <c r="H28" s="21"/>
      <c r="I28" s="246">
        <v>2.0</v>
      </c>
      <c r="J28" s="249"/>
      <c r="K28" s="25" t="s">
        <v>286</v>
      </c>
      <c r="L28" s="25"/>
      <c r="M28" s="25"/>
      <c r="N28" s="25"/>
      <c r="O28" s="25"/>
      <c r="P28" s="225" t="s">
        <v>9</v>
      </c>
    </row>
    <row r="29">
      <c r="D29" s="25" t="s">
        <v>287</v>
      </c>
      <c r="E29" s="23"/>
      <c r="F29" s="23"/>
      <c r="G29" s="23"/>
      <c r="H29" s="21"/>
      <c r="I29" s="225" t="s">
        <v>9</v>
      </c>
      <c r="J29" s="249"/>
      <c r="K29" s="25" t="s">
        <v>288</v>
      </c>
      <c r="L29" s="25"/>
      <c r="M29" s="25"/>
      <c r="N29" s="25"/>
      <c r="O29" s="25"/>
      <c r="P29" s="225" t="s">
        <v>9</v>
      </c>
    </row>
    <row r="30">
      <c r="D30" s="25" t="s">
        <v>289</v>
      </c>
      <c r="E30" s="25"/>
      <c r="F30" s="25"/>
      <c r="G30" s="25"/>
      <c r="H30" s="25"/>
      <c r="I30" s="225" t="s">
        <v>9</v>
      </c>
      <c r="J30" s="249"/>
      <c r="K30" s="25" t="s">
        <v>290</v>
      </c>
      <c r="L30" s="25"/>
      <c r="M30" s="25"/>
      <c r="N30" s="25"/>
      <c r="O30" s="25"/>
      <c r="P30" s="246" t="s">
        <v>292</v>
      </c>
    </row>
    <row r="31">
      <c r="D31" s="30" t="s">
        <v>265</v>
      </c>
      <c r="E31" s="23"/>
      <c r="F31" s="23"/>
      <c r="G31" s="23"/>
      <c r="H31" s="23"/>
      <c r="I31" s="225" t="s">
        <v>9</v>
      </c>
      <c r="J31" s="249"/>
      <c r="K31" s="200" t="s">
        <v>291</v>
      </c>
      <c r="P31" s="251"/>
    </row>
    <row r="32">
      <c r="D32" s="194" t="s">
        <v>266</v>
      </c>
      <c r="E32" s="194"/>
      <c r="F32" s="194"/>
      <c r="G32" s="194"/>
      <c r="H32" s="194"/>
      <c r="I32" s="225" t="s">
        <v>9</v>
      </c>
      <c r="J32" s="249"/>
      <c r="K32" s="22"/>
      <c r="L32" s="22"/>
      <c r="M32" s="22"/>
      <c r="N32" s="22"/>
      <c r="O32" s="22"/>
      <c r="P32" s="225" t="s">
        <v>9</v>
      </c>
    </row>
    <row r="33">
      <c r="D33" s="249"/>
      <c r="E33" s="249"/>
      <c r="F33" s="249"/>
      <c r="G33" s="249"/>
      <c r="H33" s="249"/>
      <c r="I33" s="250"/>
      <c r="J33" s="249"/>
      <c r="P33" s="258">
        <v>1.509</v>
      </c>
    </row>
    <row r="34">
      <c r="D34" s="249"/>
      <c r="E34" s="249"/>
      <c r="F34" s="249"/>
      <c r="G34" s="249"/>
      <c r="H34" s="249"/>
      <c r="I34" s="250"/>
      <c r="J34" s="249"/>
      <c r="P34" s="98"/>
    </row>
    <row r="35">
      <c r="C35" s="20" t="s">
        <v>196</v>
      </c>
      <c r="P35" s="98"/>
    </row>
    <row r="36">
      <c r="P36" s="98"/>
    </row>
    <row r="37">
      <c r="D37" s="25" t="s">
        <v>272</v>
      </c>
      <c r="E37" s="22"/>
      <c r="F37" s="22"/>
      <c r="G37" s="22"/>
      <c r="H37" s="22"/>
      <c r="I37" s="225" t="s">
        <v>9</v>
      </c>
      <c r="J37" s="51"/>
      <c r="K37" s="25" t="s">
        <v>275</v>
      </c>
      <c r="L37" s="25"/>
      <c r="M37" s="25"/>
      <c r="N37" s="25"/>
      <c r="O37" s="25"/>
      <c r="P37" s="225" t="s">
        <v>9</v>
      </c>
    </row>
    <row r="38">
      <c r="D38" s="25" t="s">
        <v>274</v>
      </c>
      <c r="E38" s="23"/>
      <c r="F38" s="23"/>
      <c r="G38" s="23"/>
      <c r="H38" s="23"/>
      <c r="I38" s="225" t="s">
        <v>9</v>
      </c>
      <c r="J38" s="201"/>
      <c r="K38" s="25" t="s">
        <v>277</v>
      </c>
      <c r="L38" s="25"/>
      <c r="M38" s="25"/>
      <c r="N38" s="25"/>
      <c r="O38" s="25"/>
      <c r="P38" s="225" t="s">
        <v>9</v>
      </c>
    </row>
    <row r="39">
      <c r="D39" s="25" t="s">
        <v>276</v>
      </c>
      <c r="E39" s="23"/>
      <c r="F39" s="23"/>
      <c r="G39" s="23"/>
      <c r="H39" s="21"/>
      <c r="I39" s="225" t="s">
        <v>9</v>
      </c>
      <c r="J39" s="201"/>
      <c r="K39" s="25" t="s">
        <v>279</v>
      </c>
      <c r="L39" s="25"/>
      <c r="M39" s="25"/>
      <c r="N39" s="25"/>
      <c r="O39" s="25"/>
      <c r="P39" s="225" t="s">
        <v>9</v>
      </c>
    </row>
    <row r="40">
      <c r="D40" s="25" t="s">
        <v>278</v>
      </c>
      <c r="E40" s="23"/>
      <c r="F40" s="23"/>
      <c r="G40" s="23"/>
      <c r="H40" s="23"/>
      <c r="I40" s="225" t="s">
        <v>9</v>
      </c>
      <c r="J40" s="201"/>
      <c r="K40" s="25" t="s">
        <v>281</v>
      </c>
      <c r="L40" s="25"/>
      <c r="M40" s="25"/>
      <c r="N40" s="25"/>
      <c r="O40" s="25"/>
      <c r="P40" s="225" t="s">
        <v>9</v>
      </c>
    </row>
    <row r="41">
      <c r="D41" s="25" t="s">
        <v>280</v>
      </c>
      <c r="E41" s="23"/>
      <c r="F41" s="23"/>
      <c r="G41" s="23"/>
      <c r="H41" s="23"/>
      <c r="I41" s="225" t="s">
        <v>9</v>
      </c>
      <c r="J41" s="201"/>
      <c r="K41" s="25" t="s">
        <v>243</v>
      </c>
      <c r="L41" s="25"/>
      <c r="M41" s="25"/>
      <c r="N41" s="25"/>
      <c r="O41" s="25"/>
      <c r="P41" s="24">
        <v>500.0</v>
      </c>
    </row>
    <row r="42">
      <c r="D42" s="25" t="s">
        <v>282</v>
      </c>
      <c r="E42" s="23"/>
      <c r="F42" s="23"/>
      <c r="G42" s="23"/>
      <c r="H42" s="23"/>
      <c r="I42" s="225" t="s">
        <v>9</v>
      </c>
      <c r="J42" s="201"/>
      <c r="K42" s="25" t="s">
        <v>284</v>
      </c>
      <c r="L42" s="25"/>
      <c r="M42" s="25"/>
      <c r="N42" s="25"/>
      <c r="O42" s="25"/>
      <c r="P42" s="225" t="s">
        <v>9</v>
      </c>
      <c r="Q42" s="31"/>
    </row>
    <row r="43">
      <c r="D43" s="194" t="s">
        <v>283</v>
      </c>
      <c r="E43" s="22"/>
      <c r="F43" s="22"/>
      <c r="G43" s="22"/>
      <c r="H43" s="22"/>
      <c r="I43" s="225" t="s">
        <v>9</v>
      </c>
      <c r="J43" s="201"/>
      <c r="K43" s="25" t="s">
        <v>286</v>
      </c>
      <c r="L43" s="25"/>
      <c r="M43" s="25"/>
      <c r="N43" s="25"/>
      <c r="O43" s="25"/>
      <c r="P43" s="225" t="s">
        <v>9</v>
      </c>
      <c r="Q43" s="31"/>
    </row>
    <row r="44">
      <c r="D44" s="25" t="s">
        <v>285</v>
      </c>
      <c r="E44" s="23"/>
      <c r="F44" s="23"/>
      <c r="G44" s="23"/>
      <c r="H44" s="21"/>
      <c r="I44" s="246">
        <v>3.0</v>
      </c>
      <c r="J44" s="249"/>
      <c r="K44" s="25" t="s">
        <v>288</v>
      </c>
      <c r="L44" s="25"/>
      <c r="M44" s="25"/>
      <c r="N44" s="25"/>
      <c r="O44" s="25"/>
      <c r="P44" s="225" t="s">
        <v>9</v>
      </c>
      <c r="Q44" s="31"/>
    </row>
    <row r="45">
      <c r="D45" s="25" t="s">
        <v>287</v>
      </c>
      <c r="E45" s="23"/>
      <c r="F45" s="23"/>
      <c r="G45" s="23"/>
      <c r="H45" s="21"/>
      <c r="I45" s="225" t="s">
        <v>9</v>
      </c>
      <c r="J45" s="249"/>
      <c r="K45" s="25" t="s">
        <v>290</v>
      </c>
      <c r="L45" s="25"/>
      <c r="M45" s="25"/>
      <c r="N45" s="25"/>
      <c r="O45" s="25"/>
      <c r="P45" s="246" t="s">
        <v>293</v>
      </c>
      <c r="Q45" s="31"/>
    </row>
    <row r="46">
      <c r="D46" s="25" t="s">
        <v>289</v>
      </c>
      <c r="E46" s="25"/>
      <c r="F46" s="25"/>
      <c r="G46" s="25"/>
      <c r="H46" s="25"/>
      <c r="I46" s="225" t="s">
        <v>9</v>
      </c>
      <c r="J46" s="249"/>
      <c r="K46" s="25" t="s">
        <v>291</v>
      </c>
      <c r="L46" s="25"/>
      <c r="M46" s="25"/>
      <c r="N46" s="25"/>
      <c r="O46" s="25"/>
      <c r="P46" s="225" t="s">
        <v>9</v>
      </c>
      <c r="Q46" s="31"/>
    </row>
    <row r="47">
      <c r="D47" s="30" t="s">
        <v>265</v>
      </c>
      <c r="E47" s="23"/>
      <c r="F47" s="23"/>
      <c r="G47" s="23"/>
      <c r="H47" s="23"/>
      <c r="I47" s="225" t="s">
        <v>9</v>
      </c>
      <c r="J47" s="249"/>
      <c r="K47" s="25" t="s">
        <v>294</v>
      </c>
      <c r="L47" s="25"/>
      <c r="M47" s="25"/>
      <c r="N47" s="25"/>
      <c r="O47" s="25"/>
      <c r="P47" s="225" t="s">
        <v>9</v>
      </c>
      <c r="Q47" s="32"/>
    </row>
    <row r="48">
      <c r="D48" s="194" t="s">
        <v>266</v>
      </c>
      <c r="E48" s="194"/>
      <c r="F48" s="194"/>
      <c r="G48" s="194"/>
      <c r="H48" s="194"/>
      <c r="I48" s="225" t="s">
        <v>9</v>
      </c>
      <c r="J48" s="249"/>
      <c r="K48" s="25" t="s">
        <v>295</v>
      </c>
      <c r="L48" s="25"/>
      <c r="M48" s="25"/>
      <c r="N48" s="25"/>
      <c r="O48" s="25"/>
      <c r="P48" s="225" t="s">
        <v>9</v>
      </c>
      <c r="Q48" s="32"/>
    </row>
    <row r="49">
      <c r="D49" s="25" t="s">
        <v>273</v>
      </c>
      <c r="E49" s="25"/>
      <c r="F49" s="25"/>
      <c r="G49" s="25"/>
      <c r="H49" s="25"/>
      <c r="I49" s="225" t="s">
        <v>9</v>
      </c>
      <c r="J49" s="201"/>
      <c r="K49" s="25" t="s">
        <v>296</v>
      </c>
      <c r="L49" s="25"/>
      <c r="M49" s="25"/>
      <c r="N49" s="25"/>
      <c r="O49" s="25"/>
      <c r="P49" s="225" t="s">
        <v>9</v>
      </c>
    </row>
    <row r="50">
      <c r="D50" s="200"/>
      <c r="E50" s="54"/>
      <c r="F50" s="54"/>
      <c r="G50" s="54"/>
      <c r="H50" s="54"/>
      <c r="I50" s="251"/>
      <c r="J50" s="201"/>
      <c r="P50" s="259">
        <v>2.009</v>
      </c>
      <c r="Q50" s="238"/>
    </row>
    <row r="51">
      <c r="D51" s="200"/>
      <c r="E51" s="54"/>
      <c r="F51" s="54"/>
      <c r="G51" s="54"/>
      <c r="H51" s="54"/>
      <c r="I51" s="251"/>
      <c r="J51" s="201"/>
      <c r="K51" s="254"/>
      <c r="L51" s="201"/>
      <c r="M51" s="201"/>
      <c r="N51" s="201"/>
      <c r="O51" s="201"/>
      <c r="P51" s="98"/>
      <c r="Q51" s="238"/>
    </row>
    <row r="52">
      <c r="C52" s="20" t="s">
        <v>144</v>
      </c>
      <c r="P52" s="98"/>
    </row>
    <row r="53">
      <c r="P53" s="98"/>
    </row>
    <row r="54">
      <c r="D54" s="25" t="s">
        <v>272</v>
      </c>
      <c r="E54" s="22"/>
      <c r="F54" s="22"/>
      <c r="G54" s="22"/>
      <c r="H54" s="22"/>
      <c r="I54" s="225" t="s">
        <v>9</v>
      </c>
      <c r="J54" s="51"/>
      <c r="K54" s="25" t="s">
        <v>279</v>
      </c>
      <c r="L54" s="25"/>
      <c r="M54" s="25"/>
      <c r="N54" s="25"/>
      <c r="O54" s="25"/>
      <c r="P54" s="225" t="s">
        <v>9</v>
      </c>
    </row>
    <row r="55">
      <c r="D55" s="25" t="s">
        <v>274</v>
      </c>
      <c r="E55" s="23"/>
      <c r="F55" s="23"/>
      <c r="G55" s="23"/>
      <c r="H55" s="23"/>
      <c r="I55" s="225" t="s">
        <v>9</v>
      </c>
      <c r="J55" s="201"/>
      <c r="K55" s="25" t="s">
        <v>281</v>
      </c>
      <c r="L55" s="25"/>
      <c r="M55" s="25"/>
      <c r="N55" s="25"/>
      <c r="O55" s="25"/>
      <c r="P55" s="225" t="s">
        <v>9</v>
      </c>
    </row>
    <row r="56">
      <c r="D56" s="25" t="s">
        <v>276</v>
      </c>
      <c r="E56" s="23"/>
      <c r="F56" s="23"/>
      <c r="G56" s="23"/>
      <c r="H56" s="21"/>
      <c r="I56" s="225" t="s">
        <v>9</v>
      </c>
      <c r="J56" s="201"/>
      <c r="K56" s="25" t="s">
        <v>243</v>
      </c>
      <c r="L56" s="25"/>
      <c r="M56" s="25"/>
      <c r="N56" s="25"/>
      <c r="O56" s="25"/>
      <c r="P56" s="24" t="s">
        <v>297</v>
      </c>
    </row>
    <row r="57">
      <c r="D57" s="25" t="s">
        <v>278</v>
      </c>
      <c r="E57" s="23"/>
      <c r="F57" s="23"/>
      <c r="G57" s="23"/>
      <c r="H57" s="23"/>
      <c r="I57" s="225" t="s">
        <v>9</v>
      </c>
      <c r="J57" s="201"/>
      <c r="K57" s="25" t="s">
        <v>284</v>
      </c>
      <c r="L57" s="25"/>
      <c r="M57" s="25"/>
      <c r="N57" s="25"/>
      <c r="O57" s="25"/>
      <c r="P57" s="225" t="s">
        <v>9</v>
      </c>
    </row>
    <row r="58">
      <c r="D58" s="25" t="s">
        <v>280</v>
      </c>
      <c r="E58" s="23"/>
      <c r="F58" s="23"/>
      <c r="G58" s="23"/>
      <c r="H58" s="23"/>
      <c r="I58" s="225" t="s">
        <v>9</v>
      </c>
      <c r="J58" s="201"/>
      <c r="K58" s="25" t="s">
        <v>286</v>
      </c>
      <c r="L58" s="25"/>
      <c r="M58" s="25"/>
      <c r="N58" s="25"/>
      <c r="O58" s="25"/>
      <c r="P58" s="225" t="s">
        <v>9</v>
      </c>
    </row>
    <row r="59">
      <c r="D59" s="25" t="s">
        <v>282</v>
      </c>
      <c r="E59" s="23"/>
      <c r="F59" s="23"/>
      <c r="G59" s="23"/>
      <c r="H59" s="23"/>
      <c r="I59" s="225" t="s">
        <v>9</v>
      </c>
      <c r="J59" s="201"/>
      <c r="K59" s="25" t="s">
        <v>288</v>
      </c>
      <c r="L59" s="25"/>
      <c r="M59" s="25"/>
      <c r="N59" s="25"/>
      <c r="O59" s="25"/>
      <c r="P59" s="225" t="s">
        <v>9</v>
      </c>
    </row>
    <row r="60">
      <c r="D60" s="194" t="s">
        <v>283</v>
      </c>
      <c r="E60" s="22"/>
      <c r="F60" s="22"/>
      <c r="G60" s="22"/>
      <c r="H60" s="22"/>
      <c r="I60" s="225" t="s">
        <v>9</v>
      </c>
      <c r="J60" s="201"/>
      <c r="K60" s="25" t="s">
        <v>290</v>
      </c>
      <c r="L60" s="25"/>
      <c r="M60" s="25"/>
      <c r="N60" s="25"/>
      <c r="O60" s="25"/>
      <c r="P60" s="246" t="s">
        <v>298</v>
      </c>
    </row>
    <row r="61">
      <c r="D61" s="25" t="s">
        <v>285</v>
      </c>
      <c r="E61" s="23"/>
      <c r="F61" s="23"/>
      <c r="G61" s="23"/>
      <c r="H61" s="21"/>
      <c r="I61" s="246">
        <v>4.0</v>
      </c>
      <c r="J61" s="249"/>
      <c r="K61" s="25" t="s">
        <v>291</v>
      </c>
      <c r="L61" s="25"/>
      <c r="M61" s="25"/>
      <c r="N61" s="25"/>
      <c r="O61" s="25"/>
      <c r="P61" s="225" t="s">
        <v>9</v>
      </c>
    </row>
    <row r="62">
      <c r="D62" s="25" t="s">
        <v>287</v>
      </c>
      <c r="E62" s="23"/>
      <c r="F62" s="23"/>
      <c r="G62" s="23"/>
      <c r="H62" s="21"/>
      <c r="I62" s="225" t="s">
        <v>9</v>
      </c>
      <c r="J62" s="249"/>
      <c r="K62" s="25" t="s">
        <v>294</v>
      </c>
      <c r="L62" s="25"/>
      <c r="M62" s="25"/>
      <c r="N62" s="25"/>
      <c r="O62" s="25"/>
      <c r="P62" s="225" t="s">
        <v>9</v>
      </c>
    </row>
    <row r="63">
      <c r="D63" s="25" t="s">
        <v>289</v>
      </c>
      <c r="E63" s="25"/>
      <c r="F63" s="25"/>
      <c r="G63" s="25"/>
      <c r="H63" s="25"/>
      <c r="I63" s="225" t="s">
        <v>9</v>
      </c>
      <c r="J63" s="249"/>
      <c r="K63" s="25" t="s">
        <v>295</v>
      </c>
      <c r="L63" s="25"/>
      <c r="M63" s="25"/>
      <c r="N63" s="25"/>
      <c r="O63" s="25"/>
      <c r="P63" s="225" t="s">
        <v>9</v>
      </c>
    </row>
    <row r="64">
      <c r="D64" s="30" t="s">
        <v>265</v>
      </c>
      <c r="E64" s="23"/>
      <c r="F64" s="23"/>
      <c r="G64" s="23"/>
      <c r="H64" s="23"/>
      <c r="I64" s="225" t="s">
        <v>9</v>
      </c>
      <c r="J64" s="249"/>
      <c r="K64" s="25" t="s">
        <v>296</v>
      </c>
      <c r="L64" s="25"/>
      <c r="M64" s="25"/>
      <c r="N64" s="25"/>
      <c r="O64" s="25"/>
      <c r="P64" s="225" t="s">
        <v>9</v>
      </c>
    </row>
    <row r="65">
      <c r="D65" s="194" t="s">
        <v>266</v>
      </c>
      <c r="E65" s="194"/>
      <c r="F65" s="194"/>
      <c r="G65" s="194"/>
      <c r="H65" s="194"/>
      <c r="I65" s="225" t="s">
        <v>9</v>
      </c>
      <c r="J65" s="249"/>
      <c r="K65" s="25" t="s">
        <v>299</v>
      </c>
      <c r="L65" s="25"/>
      <c r="M65" s="25"/>
      <c r="N65" s="25"/>
      <c r="O65" s="25"/>
      <c r="P65" s="225" t="s">
        <v>9</v>
      </c>
    </row>
    <row r="66">
      <c r="D66" s="25" t="s">
        <v>273</v>
      </c>
      <c r="E66" s="25"/>
      <c r="F66" s="25"/>
      <c r="G66" s="25"/>
      <c r="H66" s="25"/>
      <c r="I66" s="225" t="s">
        <v>9</v>
      </c>
      <c r="J66" s="201"/>
      <c r="K66" s="25" t="s">
        <v>300</v>
      </c>
      <c r="L66" s="25"/>
      <c r="M66" s="25"/>
      <c r="N66" s="25"/>
      <c r="O66" s="25"/>
      <c r="P66" s="225" t="s">
        <v>9</v>
      </c>
    </row>
    <row r="67">
      <c r="D67" s="25" t="s">
        <v>275</v>
      </c>
      <c r="E67" s="25"/>
      <c r="F67" s="25"/>
      <c r="G67" s="25"/>
      <c r="H67" s="25"/>
      <c r="I67" s="225" t="s">
        <v>9</v>
      </c>
      <c r="J67" s="201"/>
      <c r="K67" s="200" t="s">
        <v>301</v>
      </c>
      <c r="P67" s="251" t="s">
        <v>9</v>
      </c>
    </row>
    <row r="68">
      <c r="D68" s="25" t="s">
        <v>277</v>
      </c>
      <c r="E68" s="25"/>
      <c r="F68" s="25"/>
      <c r="G68" s="25"/>
      <c r="H68" s="25"/>
      <c r="I68" s="225" t="s">
        <v>9</v>
      </c>
      <c r="J68" s="201"/>
      <c r="K68" s="22"/>
      <c r="L68" s="22"/>
      <c r="M68" s="22"/>
      <c r="N68" s="22"/>
      <c r="O68" s="22"/>
      <c r="P68" s="22"/>
    </row>
    <row r="69">
      <c r="D69" s="200"/>
      <c r="E69" s="200"/>
      <c r="F69" s="200"/>
      <c r="G69" s="200"/>
      <c r="H69" s="200"/>
      <c r="I69" s="251"/>
      <c r="J69" s="201"/>
      <c r="P69" s="259">
        <v>2.519</v>
      </c>
    </row>
    <row r="70">
      <c r="D70" s="200"/>
      <c r="E70" s="54"/>
      <c r="F70" s="54"/>
      <c r="G70" s="54"/>
      <c r="H70" s="54"/>
      <c r="I70" s="251"/>
      <c r="J70" s="201"/>
      <c r="P70" s="98"/>
    </row>
  </sheetData>
  <mergeCells count="17">
    <mergeCell ref="D27:H27"/>
    <mergeCell ref="K31:O32"/>
    <mergeCell ref="C35:I36"/>
    <mergeCell ref="D37:H37"/>
    <mergeCell ref="D43:H43"/>
    <mergeCell ref="C52:I53"/>
    <mergeCell ref="D54:H54"/>
    <mergeCell ref="D60:H60"/>
    <mergeCell ref="K67:O68"/>
    <mergeCell ref="P67:P68"/>
    <mergeCell ref="A2:A70"/>
    <mergeCell ref="C3:I4"/>
    <mergeCell ref="D5:H5"/>
    <mergeCell ref="D11:H11"/>
    <mergeCell ref="K15:O16"/>
    <mergeCell ref="C19:I20"/>
    <mergeCell ref="D21:H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5.75"/>
    <col customWidth="1" min="8" max="8" width="7.88"/>
    <col customWidth="1" min="9" max="13" width="5.75"/>
    <col customWidth="1" min="14" max="14" width="7.13"/>
    <col customWidth="1" min="15" max="17" width="5.63"/>
  </cols>
  <sheetData>
    <row r="1">
      <c r="A1" s="19" t="s">
        <v>302</v>
      </c>
      <c r="Q1" s="18"/>
    </row>
    <row r="3">
      <c r="C3" s="20" t="s">
        <v>186</v>
      </c>
    </row>
    <row r="5">
      <c r="D5" s="260" t="s">
        <v>303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61" t="s">
        <v>9</v>
      </c>
    </row>
    <row r="6">
      <c r="D6" s="25" t="s">
        <v>304</v>
      </c>
      <c r="E6" s="23"/>
      <c r="F6" s="23"/>
      <c r="G6" s="23"/>
      <c r="H6" s="23"/>
      <c r="I6" s="191"/>
      <c r="J6" s="191"/>
      <c r="K6" s="191"/>
      <c r="L6" s="191"/>
      <c r="M6" s="191"/>
      <c r="N6" s="191"/>
      <c r="O6" s="191"/>
      <c r="P6" s="191" t="s">
        <v>9</v>
      </c>
    </row>
    <row r="7">
      <c r="D7" s="25" t="s">
        <v>305</v>
      </c>
      <c r="E7" s="23"/>
      <c r="F7" s="23"/>
      <c r="G7" s="23"/>
      <c r="H7" s="21"/>
      <c r="I7" s="191"/>
      <c r="J7" s="191"/>
      <c r="K7" s="191"/>
      <c r="L7" s="191"/>
      <c r="M7" s="191"/>
      <c r="N7" s="191"/>
      <c r="O7" s="191"/>
      <c r="P7" s="191" t="s">
        <v>9</v>
      </c>
    </row>
    <row r="8">
      <c r="D8" s="25" t="s">
        <v>306</v>
      </c>
      <c r="E8" s="23"/>
      <c r="F8" s="23"/>
      <c r="G8" s="23"/>
      <c r="H8" s="23"/>
      <c r="I8" s="191"/>
      <c r="J8" s="191"/>
      <c r="K8" s="191"/>
      <c r="L8" s="191"/>
      <c r="M8" s="191"/>
      <c r="N8" s="191"/>
      <c r="O8" s="191"/>
      <c r="P8" s="191" t="s">
        <v>9</v>
      </c>
    </row>
    <row r="9">
      <c r="D9" s="25" t="s">
        <v>307</v>
      </c>
      <c r="E9" s="23"/>
      <c r="F9" s="23"/>
      <c r="G9" s="23"/>
      <c r="H9" s="23"/>
      <c r="I9" s="191"/>
      <c r="J9" s="191"/>
      <c r="K9" s="191"/>
      <c r="L9" s="191"/>
      <c r="M9" s="191"/>
      <c r="N9" s="191"/>
      <c r="O9" s="191"/>
      <c r="P9" s="191" t="s">
        <v>9</v>
      </c>
    </row>
    <row r="10">
      <c r="D10" s="25" t="s">
        <v>308</v>
      </c>
      <c r="E10" s="23"/>
      <c r="F10" s="23"/>
      <c r="G10" s="23"/>
      <c r="H10" s="23"/>
      <c r="I10" s="191"/>
      <c r="J10" s="191"/>
      <c r="K10" s="191"/>
      <c r="L10" s="191"/>
      <c r="M10" s="191"/>
      <c r="N10" s="191"/>
      <c r="O10" s="191"/>
      <c r="P10" s="191" t="s">
        <v>9</v>
      </c>
    </row>
    <row r="11">
      <c r="D11" s="25" t="s">
        <v>309</v>
      </c>
      <c r="E11" s="23"/>
      <c r="F11" s="23"/>
      <c r="G11" s="23"/>
      <c r="H11" s="23"/>
      <c r="I11" s="191"/>
      <c r="J11" s="191"/>
      <c r="K11" s="191"/>
      <c r="L11" s="191"/>
      <c r="M11" s="191"/>
      <c r="N11" s="191"/>
      <c r="O11" s="191"/>
      <c r="P11" s="191" t="s">
        <v>9</v>
      </c>
    </row>
    <row r="12">
      <c r="D12" s="262" t="s">
        <v>310</v>
      </c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 t="s">
        <v>9</v>
      </c>
    </row>
    <row r="13">
      <c r="C13" s="216"/>
      <c r="D13" s="216"/>
      <c r="E13" s="216"/>
      <c r="F13" s="216"/>
      <c r="G13" s="216"/>
      <c r="H13" s="263"/>
      <c r="I13" s="264"/>
      <c r="P13" s="256">
        <v>99.0</v>
      </c>
    </row>
    <row r="14">
      <c r="D14" s="249"/>
      <c r="O14" s="54"/>
      <c r="P14" s="51"/>
    </row>
    <row r="15">
      <c r="C15" s="20" t="s">
        <v>139</v>
      </c>
      <c r="Q15" s="31"/>
    </row>
    <row r="16">
      <c r="Q16" s="31"/>
    </row>
    <row r="17">
      <c r="D17" s="260" t="s">
        <v>303</v>
      </c>
      <c r="E17" s="24"/>
      <c r="F17" s="23"/>
      <c r="G17" s="23"/>
      <c r="H17" s="23"/>
      <c r="I17" s="191" t="s">
        <v>9</v>
      </c>
      <c r="J17" s="51"/>
      <c r="K17" s="25" t="s">
        <v>311</v>
      </c>
      <c r="L17" s="23"/>
      <c r="M17" s="23"/>
      <c r="N17" s="23"/>
      <c r="O17" s="23"/>
      <c r="P17" s="191" t="s">
        <v>9</v>
      </c>
      <c r="Q17" s="31"/>
    </row>
    <row r="18">
      <c r="D18" s="25" t="s">
        <v>304</v>
      </c>
      <c r="E18" s="23"/>
      <c r="F18" s="23"/>
      <c r="G18" s="23"/>
      <c r="H18" s="265"/>
      <c r="I18" s="191" t="s">
        <v>9</v>
      </c>
      <c r="K18" s="25" t="s">
        <v>312</v>
      </c>
      <c r="L18" s="23"/>
      <c r="M18" s="23"/>
      <c r="N18" s="194"/>
      <c r="O18" s="194"/>
      <c r="P18" s="191" t="s">
        <v>9</v>
      </c>
      <c r="Q18" s="31"/>
    </row>
    <row r="19">
      <c r="D19" s="25" t="s">
        <v>305</v>
      </c>
      <c r="E19" s="23"/>
      <c r="F19" s="23"/>
      <c r="G19" s="23"/>
      <c r="H19" s="23"/>
      <c r="I19" s="24" t="s">
        <v>9</v>
      </c>
      <c r="J19" s="201"/>
      <c r="K19" s="25" t="s">
        <v>313</v>
      </c>
      <c r="L19" s="23"/>
      <c r="M19" s="23"/>
      <c r="N19" s="23"/>
      <c r="O19" s="21"/>
      <c r="P19" s="24">
        <v>10.0</v>
      </c>
      <c r="Q19" s="31"/>
    </row>
    <row r="20">
      <c r="D20" s="25" t="s">
        <v>306</v>
      </c>
      <c r="E20" s="23"/>
      <c r="F20" s="23"/>
      <c r="G20" s="23"/>
      <c r="H20" s="21"/>
      <c r="I20" s="24" t="s">
        <v>9</v>
      </c>
      <c r="J20" s="201"/>
      <c r="K20" s="25" t="s">
        <v>314</v>
      </c>
      <c r="L20" s="23"/>
      <c r="M20" s="23"/>
      <c r="N20" s="23"/>
      <c r="O20" s="23"/>
      <c r="P20" s="24" t="s">
        <v>9</v>
      </c>
      <c r="Q20" s="31"/>
    </row>
    <row r="21">
      <c r="D21" s="25" t="s">
        <v>307</v>
      </c>
      <c r="E21" s="23"/>
      <c r="F21" s="23"/>
      <c r="G21" s="23"/>
      <c r="H21" s="23"/>
      <c r="I21" s="24" t="s">
        <v>9</v>
      </c>
      <c r="J21" s="201"/>
      <c r="K21" s="25" t="s">
        <v>315</v>
      </c>
      <c r="L21" s="23"/>
      <c r="M21" s="23"/>
      <c r="N21" s="23"/>
      <c r="O21" s="23"/>
      <c r="P21" s="24" t="s">
        <v>9</v>
      </c>
      <c r="Q21" s="31"/>
    </row>
    <row r="22">
      <c r="D22" s="25" t="s">
        <v>308</v>
      </c>
      <c r="E22" s="23"/>
      <c r="F22" s="23"/>
      <c r="G22" s="23"/>
      <c r="H22" s="23"/>
      <c r="I22" s="24" t="s">
        <v>9</v>
      </c>
      <c r="J22" s="201"/>
      <c r="K22" s="25" t="s">
        <v>316</v>
      </c>
      <c r="L22" s="23"/>
      <c r="M22" s="23"/>
      <c r="N22" s="23"/>
      <c r="O22" s="25"/>
      <c r="P22" s="24" t="s">
        <v>9</v>
      </c>
      <c r="Q22" s="31"/>
    </row>
    <row r="23">
      <c r="D23" s="25" t="s">
        <v>309</v>
      </c>
      <c r="E23" s="23"/>
      <c r="F23" s="23"/>
      <c r="G23" s="23"/>
      <c r="H23" s="23"/>
      <c r="I23" s="24" t="s">
        <v>9</v>
      </c>
      <c r="J23" s="201"/>
      <c r="K23" s="262" t="s">
        <v>317</v>
      </c>
      <c r="L23" s="191"/>
      <c r="M23" s="191"/>
      <c r="N23" s="191"/>
      <c r="O23" s="194"/>
      <c r="P23" s="24" t="s">
        <v>9</v>
      </c>
      <c r="Q23" s="31"/>
    </row>
    <row r="24">
      <c r="D24" s="262" t="s">
        <v>310</v>
      </c>
      <c r="E24" s="191"/>
      <c r="F24" s="191"/>
      <c r="G24" s="191"/>
      <c r="H24" s="191"/>
      <c r="I24" s="24" t="s">
        <v>9</v>
      </c>
      <c r="J24" s="201"/>
      <c r="K24" s="262" t="s">
        <v>318</v>
      </c>
      <c r="L24" s="191"/>
      <c r="M24" s="25"/>
      <c r="N24" s="25"/>
      <c r="O24" s="25"/>
      <c r="P24" s="27">
        <v>5.0</v>
      </c>
      <c r="Q24" s="31"/>
    </row>
    <row r="25">
      <c r="H25" s="54"/>
      <c r="I25" s="57"/>
      <c r="J25" s="201"/>
      <c r="K25" s="192"/>
      <c r="L25" s="192"/>
      <c r="M25" s="192"/>
      <c r="N25" s="192"/>
      <c r="O25" s="192"/>
      <c r="P25" s="266">
        <v>199.0</v>
      </c>
      <c r="Q25" s="32"/>
    </row>
    <row r="26">
      <c r="D26" s="200"/>
      <c r="E26" s="54"/>
      <c r="F26" s="54"/>
      <c r="G26" s="54"/>
      <c r="H26" s="52"/>
      <c r="I26" s="201"/>
      <c r="J26" s="201"/>
      <c r="K26" s="201"/>
      <c r="L26" s="201"/>
      <c r="M26" s="201"/>
      <c r="N26" s="201"/>
      <c r="O26" s="201"/>
      <c r="P26" s="201"/>
      <c r="Q26" s="32"/>
    </row>
    <row r="27">
      <c r="C27" s="20" t="s">
        <v>173</v>
      </c>
    </row>
    <row r="29">
      <c r="D29" s="260" t="s">
        <v>303</v>
      </c>
      <c r="E29" s="24"/>
      <c r="F29" s="23"/>
      <c r="G29" s="23"/>
      <c r="H29" s="23"/>
      <c r="I29" s="191" t="s">
        <v>9</v>
      </c>
      <c r="J29" s="51"/>
      <c r="K29" s="262" t="s">
        <v>317</v>
      </c>
      <c r="L29" s="191"/>
      <c r="M29" s="191"/>
      <c r="N29" s="191"/>
      <c r="O29" s="194"/>
      <c r="P29" s="24" t="s">
        <v>9</v>
      </c>
      <c r="Q29" s="238"/>
    </row>
    <row r="30">
      <c r="D30" s="25" t="s">
        <v>304</v>
      </c>
      <c r="E30" s="23"/>
      <c r="F30" s="23"/>
      <c r="G30" s="23"/>
      <c r="H30" s="265"/>
      <c r="I30" s="191" t="s">
        <v>9</v>
      </c>
      <c r="K30" s="262" t="s">
        <v>318</v>
      </c>
      <c r="L30" s="191"/>
      <c r="M30" s="25"/>
      <c r="N30" s="25"/>
      <c r="O30" s="25"/>
      <c r="P30" s="27">
        <v>5.0</v>
      </c>
    </row>
    <row r="31">
      <c r="D31" s="25" t="s">
        <v>305</v>
      </c>
      <c r="E31" s="23"/>
      <c r="F31" s="23"/>
      <c r="G31" s="23"/>
      <c r="H31" s="23"/>
      <c r="I31" s="24" t="s">
        <v>9</v>
      </c>
      <c r="J31" s="51"/>
      <c r="K31" s="25" t="s">
        <v>319</v>
      </c>
      <c r="L31" s="23"/>
      <c r="M31" s="23"/>
      <c r="N31" s="23"/>
      <c r="O31" s="23"/>
      <c r="P31" s="24" t="s">
        <v>9</v>
      </c>
    </row>
    <row r="32">
      <c r="D32" s="25" t="s">
        <v>306</v>
      </c>
      <c r="E32" s="23"/>
      <c r="F32" s="23"/>
      <c r="G32" s="23"/>
      <c r="H32" s="21"/>
      <c r="I32" s="24" t="s">
        <v>9</v>
      </c>
      <c r="J32" s="51"/>
      <c r="K32" s="25" t="s">
        <v>320</v>
      </c>
      <c r="L32" s="23"/>
      <c r="M32" s="23"/>
      <c r="N32" s="23"/>
      <c r="O32" s="21"/>
      <c r="P32" s="24" t="s">
        <v>9</v>
      </c>
    </row>
    <row r="33">
      <c r="D33" s="25" t="s">
        <v>307</v>
      </c>
      <c r="E33" s="23"/>
      <c r="F33" s="23"/>
      <c r="G33" s="23"/>
      <c r="H33" s="23"/>
      <c r="I33" s="24" t="s">
        <v>9</v>
      </c>
      <c r="J33" s="51"/>
      <c r="K33" s="25" t="s">
        <v>321</v>
      </c>
      <c r="L33" s="23"/>
      <c r="M33" s="23"/>
      <c r="N33" s="23"/>
      <c r="O33" s="23"/>
      <c r="P33" s="24" t="s">
        <v>9</v>
      </c>
    </row>
    <row r="34">
      <c r="D34" s="25" t="s">
        <v>308</v>
      </c>
      <c r="E34" s="23"/>
      <c r="F34" s="23"/>
      <c r="G34" s="23"/>
      <c r="H34" s="23"/>
      <c r="I34" s="24" t="s">
        <v>9</v>
      </c>
      <c r="J34" s="51"/>
      <c r="K34" s="25" t="s">
        <v>322</v>
      </c>
      <c r="L34" s="23"/>
      <c r="M34" s="23"/>
      <c r="N34" s="23"/>
      <c r="O34" s="23"/>
      <c r="P34" s="24" t="s">
        <v>9</v>
      </c>
    </row>
    <row r="35">
      <c r="D35" s="25" t="s">
        <v>309</v>
      </c>
      <c r="E35" s="23"/>
      <c r="F35" s="23"/>
      <c r="G35" s="23"/>
      <c r="H35" s="23"/>
      <c r="I35" s="24" t="s">
        <v>9</v>
      </c>
      <c r="J35" s="51"/>
      <c r="K35" s="25" t="s">
        <v>323</v>
      </c>
      <c r="L35" s="23"/>
      <c r="M35" s="23"/>
      <c r="N35" s="23"/>
      <c r="O35" s="23"/>
      <c r="P35" s="24" t="s">
        <v>9</v>
      </c>
    </row>
    <row r="36">
      <c r="D36" s="262" t="s">
        <v>310</v>
      </c>
      <c r="E36" s="191"/>
      <c r="F36" s="191"/>
      <c r="G36" s="191"/>
      <c r="H36" s="191"/>
      <c r="I36" s="24" t="s">
        <v>9</v>
      </c>
      <c r="J36" s="51"/>
      <c r="K36" s="192" t="s">
        <v>324</v>
      </c>
      <c r="L36" s="192"/>
      <c r="M36" s="192"/>
      <c r="N36" s="192"/>
      <c r="O36" s="192"/>
      <c r="P36" s="51" t="s">
        <v>9</v>
      </c>
    </row>
    <row r="37">
      <c r="D37" s="25" t="s">
        <v>311</v>
      </c>
      <c r="E37" s="23"/>
      <c r="F37" s="23"/>
      <c r="G37" s="23"/>
      <c r="H37" s="23"/>
      <c r="I37" s="191" t="s">
        <v>9</v>
      </c>
      <c r="J37" s="51"/>
      <c r="K37" s="25" t="s">
        <v>325</v>
      </c>
      <c r="L37" s="23"/>
      <c r="M37" s="23"/>
      <c r="N37" s="23"/>
      <c r="O37" s="21"/>
      <c r="P37" s="24" t="s">
        <v>9</v>
      </c>
    </row>
    <row r="38">
      <c r="D38" s="25" t="s">
        <v>312</v>
      </c>
      <c r="E38" s="23"/>
      <c r="F38" s="23"/>
      <c r="G38" s="194"/>
      <c r="H38" s="194"/>
      <c r="I38" s="191" t="s">
        <v>9</v>
      </c>
      <c r="J38" s="51"/>
      <c r="K38" s="25" t="s">
        <v>326</v>
      </c>
      <c r="L38" s="23"/>
      <c r="M38" s="23"/>
      <c r="N38" s="23"/>
      <c r="O38" s="23"/>
      <c r="P38" s="24" t="s">
        <v>9</v>
      </c>
    </row>
    <row r="39">
      <c r="D39" s="25" t="s">
        <v>313</v>
      </c>
      <c r="E39" s="23"/>
      <c r="F39" s="23"/>
      <c r="G39" s="23"/>
      <c r="H39" s="21"/>
      <c r="I39" s="24">
        <v>10.0</v>
      </c>
      <c r="J39" s="51"/>
      <c r="K39" s="25" t="s">
        <v>327</v>
      </c>
      <c r="L39" s="23"/>
      <c r="M39" s="23"/>
      <c r="N39" s="23"/>
      <c r="O39" s="23"/>
      <c r="P39" s="24" t="s">
        <v>9</v>
      </c>
    </row>
    <row r="40">
      <c r="D40" s="25" t="s">
        <v>314</v>
      </c>
      <c r="E40" s="23"/>
      <c r="F40" s="23"/>
      <c r="G40" s="23"/>
      <c r="H40" s="23"/>
      <c r="I40" s="24" t="s">
        <v>9</v>
      </c>
      <c r="J40" s="51"/>
      <c r="K40" s="25" t="s">
        <v>328</v>
      </c>
      <c r="L40" s="25"/>
      <c r="M40" s="25"/>
      <c r="N40" s="25"/>
      <c r="O40" s="25"/>
      <c r="P40" s="24" t="s">
        <v>9</v>
      </c>
    </row>
    <row r="41">
      <c r="D41" s="25" t="s">
        <v>315</v>
      </c>
      <c r="E41" s="23"/>
      <c r="F41" s="23"/>
      <c r="G41" s="23"/>
      <c r="H41" s="23"/>
      <c r="I41" s="24" t="s">
        <v>9</v>
      </c>
      <c r="J41" s="51"/>
      <c r="K41" s="192" t="s">
        <v>329</v>
      </c>
      <c r="P41" s="51" t="s">
        <v>9</v>
      </c>
    </row>
    <row r="42">
      <c r="A42" s="19"/>
      <c r="D42" s="25" t="s">
        <v>316</v>
      </c>
      <c r="E42" s="23"/>
      <c r="F42" s="23"/>
      <c r="G42" s="23"/>
      <c r="H42" s="25"/>
      <c r="I42" s="24" t="s">
        <v>9</v>
      </c>
      <c r="J42" s="51"/>
      <c r="K42" s="22"/>
      <c r="L42" s="22"/>
      <c r="M42" s="22"/>
      <c r="N42" s="22"/>
      <c r="O42" s="22"/>
      <c r="P42" s="22"/>
    </row>
    <row r="43">
      <c r="A43" s="19"/>
      <c r="J43" s="51"/>
      <c r="K43" s="192"/>
      <c r="L43" s="192"/>
      <c r="M43" s="192"/>
      <c r="N43" s="192"/>
      <c r="O43" s="192"/>
      <c r="P43" s="266">
        <v>299.0</v>
      </c>
    </row>
  </sheetData>
  <mergeCells count="9">
    <mergeCell ref="K41:O42"/>
    <mergeCell ref="P41:P42"/>
    <mergeCell ref="A1:A41"/>
    <mergeCell ref="C3:I4"/>
    <mergeCell ref="D14:N14"/>
    <mergeCell ref="C15:I16"/>
    <mergeCell ref="J17:J18"/>
    <mergeCell ref="C27:I28"/>
    <mergeCell ref="J29:J3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7" width="5.75"/>
    <col customWidth="1" min="8" max="8" width="7.88"/>
    <col customWidth="1" min="9" max="13" width="5.75"/>
    <col customWidth="1" min="14" max="14" width="7.13"/>
    <col customWidth="1" min="15" max="17" width="5.63"/>
  </cols>
  <sheetData>
    <row r="1">
      <c r="A1" s="19" t="s">
        <v>330</v>
      </c>
      <c r="Q1" s="18"/>
    </row>
    <row r="3">
      <c r="C3" s="20"/>
      <c r="D3" s="20"/>
      <c r="E3" s="20"/>
      <c r="F3" s="20"/>
      <c r="G3" s="20"/>
      <c r="H3" s="20"/>
      <c r="I3" s="20"/>
    </row>
    <row r="4">
      <c r="C4" s="20"/>
      <c r="D4" s="267" t="s">
        <v>331</v>
      </c>
    </row>
    <row r="5">
      <c r="D5" s="260" t="s">
        <v>332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68" t="s">
        <v>9</v>
      </c>
    </row>
    <row r="6">
      <c r="D6" s="260" t="s">
        <v>333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01" t="s">
        <v>9</v>
      </c>
    </row>
    <row r="7">
      <c r="D7" s="260" t="s">
        <v>334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01" t="s">
        <v>9</v>
      </c>
    </row>
    <row r="8">
      <c r="D8" s="260" t="s">
        <v>335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01" t="s">
        <v>9</v>
      </c>
    </row>
    <row r="9">
      <c r="D9" s="260" t="s">
        <v>336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01" t="s">
        <v>9</v>
      </c>
    </row>
    <row r="10">
      <c r="D10" s="260" t="s">
        <v>337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01" t="s">
        <v>9</v>
      </c>
    </row>
    <row r="11">
      <c r="D11" s="260" t="s">
        <v>338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01" t="s">
        <v>9</v>
      </c>
    </row>
    <row r="12">
      <c r="D12" s="260" t="s">
        <v>339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01" t="s">
        <v>9</v>
      </c>
    </row>
    <row r="13">
      <c r="C13" s="216"/>
      <c r="D13" s="260" t="s">
        <v>340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01" t="s">
        <v>9</v>
      </c>
    </row>
    <row r="14" ht="18.0" customHeight="1">
      <c r="D14" s="260" t="s">
        <v>341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01" t="s">
        <v>9</v>
      </c>
    </row>
    <row r="15">
      <c r="C15" s="20"/>
      <c r="Q15" s="31"/>
    </row>
    <row r="16">
      <c r="C16" s="20"/>
      <c r="D16" s="263"/>
      <c r="P16" s="201"/>
      <c r="Q16" s="31"/>
    </row>
    <row r="17">
      <c r="D17" s="263"/>
      <c r="P17" s="201"/>
      <c r="Q17" s="31"/>
    </row>
    <row r="18">
      <c r="D18" s="267" t="s">
        <v>342</v>
      </c>
      <c r="P18" s="201"/>
      <c r="Q18" s="31"/>
    </row>
    <row r="19">
      <c r="D19" s="260" t="s">
        <v>343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01" t="s">
        <v>9</v>
      </c>
      <c r="Q19" s="31"/>
    </row>
    <row r="20">
      <c r="D20" s="260" t="s">
        <v>344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01" t="s">
        <v>9</v>
      </c>
      <c r="Q20" s="31"/>
    </row>
    <row r="21">
      <c r="D21" s="263"/>
      <c r="P21" s="201"/>
      <c r="Q21" s="31"/>
    </row>
    <row r="22">
      <c r="D22" s="263"/>
      <c r="P22" s="201"/>
      <c r="Q22" s="31"/>
    </row>
    <row r="23">
      <c r="A23" s="19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01"/>
      <c r="Q23" s="31"/>
    </row>
    <row r="24">
      <c r="A24" s="19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01"/>
      <c r="Q24" s="31"/>
    </row>
    <row r="25">
      <c r="A25" s="19"/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01"/>
      <c r="Q25" s="31"/>
    </row>
    <row r="26">
      <c r="A26" s="19"/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01"/>
      <c r="Q26" s="31"/>
    </row>
    <row r="27">
      <c r="A27" s="19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01"/>
      <c r="Q27" s="31"/>
    </row>
    <row r="28">
      <c r="A28" s="19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01"/>
      <c r="Q28" s="31"/>
    </row>
    <row r="29">
      <c r="A29" s="19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01"/>
      <c r="Q29" s="31"/>
    </row>
    <row r="30">
      <c r="A30" s="19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01"/>
      <c r="Q30" s="31"/>
    </row>
    <row r="31">
      <c r="A31" s="19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01"/>
      <c r="Q31" s="31"/>
    </row>
    <row r="32">
      <c r="A32" s="19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01"/>
      <c r="Q32" s="31"/>
    </row>
  </sheetData>
  <mergeCells count="19">
    <mergeCell ref="D10:O10"/>
    <mergeCell ref="D11:O11"/>
    <mergeCell ref="D12:O12"/>
    <mergeCell ref="D13:O13"/>
    <mergeCell ref="D14:O14"/>
    <mergeCell ref="D16:O16"/>
    <mergeCell ref="D17:O17"/>
    <mergeCell ref="D18:O18"/>
    <mergeCell ref="D19:O19"/>
    <mergeCell ref="D20:O20"/>
    <mergeCell ref="D21:O21"/>
    <mergeCell ref="D22:O22"/>
    <mergeCell ref="A1:A22"/>
    <mergeCell ref="D4:O4"/>
    <mergeCell ref="D5:O5"/>
    <mergeCell ref="D6:O6"/>
    <mergeCell ref="D7:O7"/>
    <mergeCell ref="D8:O8"/>
    <mergeCell ref="D9:O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